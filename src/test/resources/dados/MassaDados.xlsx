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obileAppiumTests\src\test\resources\dados\"/>
    </mc:Choice>
  </mc:AlternateContent>
  <xr:revisionPtr revIDLastSave="0" documentId="13_ncr:1_{C38635E5-10C2-4A62-928D-C1364DC48A77}" xr6:coauthVersionLast="47" xr6:coauthVersionMax="47" xr10:uidLastSave="{00000000-0000-0000-0000-000000000000}"/>
  <bookViews>
    <workbookView xWindow="22932" yWindow="-48" windowWidth="23256" windowHeight="12456" tabRatio="547" activeTab="1" xr2:uid="{BE8CC490-7143-461B-A081-5E1B4D404489}"/>
  </bookViews>
  <sheets>
    <sheet name="TBL_CENARIOS" sheetId="3" r:id="rId1"/>
    <sheet name="TBL_CADASTRO" sheetId="4" r:id="rId2"/>
    <sheet name="TBL_MASSA_CADASTRADA" sheetId="5" r:id="rId3"/>
  </sheets>
  <definedNames>
    <definedName name="TBL_CADASTRO">Tabela15[]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3" l="1"/>
  <c r="G10" i="3"/>
  <c r="I8" i="4"/>
  <c r="H8" i="4"/>
  <c r="G8" i="4"/>
  <c r="F8" i="4"/>
  <c r="G9" i="3" s="1"/>
  <c r="E8" i="4"/>
  <c r="F9" i="3" s="1"/>
  <c r="D8" i="4"/>
  <c r="C8" i="4"/>
  <c r="I7" i="4"/>
  <c r="H7" i="4"/>
  <c r="G7" i="4"/>
  <c r="F7" i="4"/>
  <c r="E7" i="4"/>
  <c r="D7" i="4"/>
  <c r="C7" i="4"/>
  <c r="I6" i="4"/>
  <c r="H6" i="4"/>
  <c r="G6" i="4"/>
  <c r="F6" i="4"/>
  <c r="E6" i="4"/>
  <c r="D6" i="4"/>
  <c r="C6" i="4"/>
  <c r="I5" i="4"/>
  <c r="H5" i="4"/>
  <c r="G5" i="4"/>
  <c r="F5" i="4"/>
  <c r="E5" i="4"/>
  <c r="D5" i="4"/>
  <c r="C5" i="4"/>
  <c r="I4" i="4"/>
  <c r="H4" i="4"/>
  <c r="G4" i="4"/>
  <c r="F4" i="4"/>
  <c r="G5" i="3" s="1"/>
  <c r="E4" i="4"/>
  <c r="D4" i="4"/>
  <c r="C4" i="4"/>
  <c r="I3" i="4"/>
  <c r="H3" i="4"/>
  <c r="G3" i="4"/>
  <c r="F3" i="4"/>
  <c r="E3" i="4"/>
  <c r="F4" i="3" s="1"/>
  <c r="D3" i="4"/>
  <c r="C3" i="4"/>
  <c r="I2" i="4"/>
  <c r="H2" i="4"/>
  <c r="G2" i="4"/>
  <c r="F2" i="4"/>
  <c r="G3" i="3" s="1"/>
  <c r="E2" i="4"/>
  <c r="D2" i="4"/>
  <c r="C2" i="4"/>
  <c r="G8" i="3"/>
  <c r="F8" i="3"/>
  <c r="G7" i="3"/>
  <c r="F7" i="3"/>
  <c r="G6" i="3"/>
  <c r="F6" i="3"/>
  <c r="F5" i="3"/>
  <c r="G4" i="3"/>
  <c r="F3" i="3"/>
  <c r="G2" i="3"/>
  <c r="F2" i="3"/>
</calcChain>
</file>

<file path=xl/sharedStrings.xml><?xml version="1.0" encoding="utf-8"?>
<sst xmlns="http://schemas.openxmlformats.org/spreadsheetml/2006/main" count="533" uniqueCount="459">
  <si>
    <t>FEATURE</t>
  </si>
  <si>
    <t>SENHA</t>
  </si>
  <si>
    <t>SEQ</t>
  </si>
  <si>
    <t>ID_CENARIO</t>
  </si>
  <si>
    <t>NOME</t>
  </si>
  <si>
    <t>ID_USUARIO</t>
  </si>
  <si>
    <t>CARACTERISTICAS</t>
  </si>
  <si>
    <t>OBSERVAÇÃO</t>
  </si>
  <si>
    <t>SPRINT</t>
  </si>
  <si>
    <t>Criar um novo usuário CMS com sucesso</t>
  </si>
  <si>
    <t>Tentar criar um usuário com e-mail já existente</t>
  </si>
  <si>
    <t>Tentar criar um usuário com nome de usuário já existente</t>
  </si>
  <si>
    <t>Buscar a lista de usuários CMS com autenticação</t>
  </si>
  <si>
    <t>Busca de usuario por ID</t>
  </si>
  <si>
    <t>Validar alteração de usuário</t>
  </si>
  <si>
    <t>Validar exclusao de usuario</t>
  </si>
  <si>
    <t>usuario</t>
  </si>
  <si>
    <t>NOME_COMPLETO</t>
  </si>
  <si>
    <t>NOME_USUARIO</t>
  </si>
  <si>
    <t>EMAIL</t>
  </si>
  <si>
    <t>0001</t>
  </si>
  <si>
    <t>0008</t>
  </si>
  <si>
    <t>0002</t>
  </si>
  <si>
    <t>0003</t>
  </si>
  <si>
    <t>0004</t>
  </si>
  <si>
    <t>0005</t>
  </si>
  <si>
    <t>0006</t>
  </si>
  <si>
    <t>0007</t>
  </si>
  <si>
    <t>ID_MASSA</t>
  </si>
  <si>
    <t>Realizar login com sucesso</t>
  </si>
  <si>
    <t>01</t>
  </si>
  <si>
    <t>02</t>
  </si>
  <si>
    <t>03</t>
  </si>
  <si>
    <t>04</t>
  </si>
  <si>
    <t>05</t>
  </si>
  <si>
    <t>06</t>
  </si>
  <si>
    <t>07</t>
  </si>
  <si>
    <t>08</t>
  </si>
  <si>
    <t>25</t>
  </si>
  <si>
    <t>50</t>
  </si>
  <si>
    <t>27</t>
  </si>
  <si>
    <t>28</t>
  </si>
  <si>
    <t>37</t>
  </si>
  <si>
    <t>51</t>
  </si>
  <si>
    <t>49</t>
  </si>
  <si>
    <t>41</t>
  </si>
  <si>
    <t>NomeCompleto</t>
  </si>
  <si>
    <t>NomeUsuario</t>
  </si>
  <si>
    <t>Email</t>
  </si>
  <si>
    <t>Senha</t>
  </si>
  <si>
    <t>Administrador</t>
  </si>
  <si>
    <t>CPF</t>
  </si>
  <si>
    <t>Telefone</t>
  </si>
  <si>
    <t>RazaoSocial</t>
  </si>
  <si>
    <t>CNPJ</t>
  </si>
  <si>
    <t>Endereco</t>
  </si>
  <si>
    <t>Cidade</t>
  </si>
  <si>
    <t>Estado</t>
  </si>
  <si>
    <t>CEP</t>
  </si>
  <si>
    <t>Pais</t>
  </si>
  <si>
    <t>NumeroCartao</t>
  </si>
  <si>
    <t>ValidadeCartao</t>
  </si>
  <si>
    <t>NomeProduto</t>
  </si>
  <si>
    <t>Preco</t>
  </si>
  <si>
    <t>DescricaoProduto</t>
  </si>
  <si>
    <t>Quantidade</t>
  </si>
  <si>
    <t>NomeCategoria</t>
  </si>
  <si>
    <t>DescricaoCategoria</t>
  </si>
  <si>
    <t>TituloArtigo</t>
  </si>
  <si>
    <t>ConteudoArtigo</t>
  </si>
  <si>
    <t>NomeAutor</t>
  </si>
  <si>
    <t>DataPublicacao</t>
  </si>
  <si>
    <t>STATUS_CADASTRO</t>
  </si>
  <si>
    <t>true</t>
  </si>
  <si>
    <t>Acessorios</t>
  </si>
  <si>
    <t>Descricao para a categoria Acessorios</t>
  </si>
  <si>
    <t>01/27</t>
  </si>
  <si>
    <t>Informatica</t>
  </si>
  <si>
    <t>Descricao para a categoria Informatica</t>
  </si>
  <si>
    <t>05/28</t>
  </si>
  <si>
    <t>Games</t>
  </si>
  <si>
    <t>Descricao para a categoria Games</t>
  </si>
  <si>
    <t>Utah</t>
  </si>
  <si>
    <t>10/26</t>
  </si>
  <si>
    <t>92</t>
  </si>
  <si>
    <t>04/26</t>
  </si>
  <si>
    <t>Minnesota</t>
  </si>
  <si>
    <t>01/26</t>
  </si>
  <si>
    <t>Cadastrado com sucesso</t>
  </si>
  <si>
    <t>12/26</t>
  </si>
  <si>
    <t>Connecticut</t>
  </si>
  <si>
    <t>98</t>
  </si>
  <si>
    <t>10/25</t>
  </si>
  <si>
    <t>Audio e Video</t>
  </si>
  <si>
    <t>Descricao para a categoria Audio e Video</t>
  </si>
  <si>
    <t>Redes e Conectividade</t>
  </si>
  <si>
    <t>Descricao para a categoria Redes e Conectividade</t>
  </si>
  <si>
    <t>04/27</t>
  </si>
  <si>
    <t>French Southern Territories</t>
  </si>
  <si>
    <t>Rhode Island</t>
  </si>
  <si>
    <t>Impressao</t>
  </si>
  <si>
    <t>Descricao para a categoria Impressao</t>
  </si>
  <si>
    <t>Gabon</t>
  </si>
  <si>
    <t>O Impacto do Energias Renovaveis no Planeta</t>
  </si>
  <si>
    <t>ID_CATEGORIA</t>
  </si>
  <si>
    <t>STATUS_CATEGORIA</t>
  </si>
  <si>
    <t>ID_ARTIGO</t>
  </si>
  <si>
    <t>STATUS_ARTIGO</t>
  </si>
  <si>
    <t>Cadastrada com sucesso</t>
  </si>
  <si>
    <t>Nome</t>
  </si>
  <si>
    <t>Sobrenome</t>
  </si>
  <si>
    <t>NumeroEndereco</t>
  </si>
  <si>
    <t>Mauritius</t>
  </si>
  <si>
    <t>08/28</t>
  </si>
  <si>
    <t>Wyoming</t>
  </si>
  <si>
    <t>North Dakota</t>
  </si>
  <si>
    <t>Ohio</t>
  </si>
  <si>
    <t>Vestiveis (Wearables)</t>
  </si>
  <si>
    <t>Descricao para a categoria Vestiveis (Wearables)</t>
  </si>
  <si>
    <t>Drones e Acessorios</t>
  </si>
  <si>
    <t>Descricao para a categoria Drones e Acessorios</t>
  </si>
  <si>
    <t>Eletroportateis</t>
  </si>
  <si>
    <t>Descricao para a categoria Eletroportateis</t>
  </si>
  <si>
    <t>Entendendo Psicanalise</t>
  </si>
  <si>
    <t>Barrows</t>
  </si>
  <si>
    <t>Batedeira Planetaria de Precisao</t>
  </si>
  <si>
    <t>Ferramentas</t>
  </si>
  <si>
    <t>Descricao para a categoria Ferramentas</t>
  </si>
  <si>
    <t>Alaska</t>
  </si>
  <si>
    <t>Ferramentas II</t>
  </si>
  <si>
    <t>Descricao para a categoria Ferramentas II</t>
  </si>
  <si>
    <t>Nicaragua</t>
  </si>
  <si>
    <t>Oklahoma</t>
  </si>
  <si>
    <t>Nienow</t>
  </si>
  <si>
    <t>Bosco</t>
  </si>
  <si>
    <t>90</t>
  </si>
  <si>
    <t>Ferramentas III</t>
  </si>
  <si>
    <t>Descricao para a categoria Ferramentas III</t>
  </si>
  <si>
    <t>Falkland Islands (Malvinas)</t>
  </si>
  <si>
    <t>91</t>
  </si>
  <si>
    <t>Kentucky</t>
  </si>
  <si>
    <t>California</t>
  </si>
  <si>
    <t>Projetor HD Versatil</t>
  </si>
  <si>
    <t>New Jersey</t>
  </si>
  <si>
    <t>Alimentacao e Meditacao</t>
  </si>
  <si>
    <t>Metodos Inovadores de Aprendizagem Hibrida</t>
  </si>
  <si>
    <t>07/26</t>
  </si>
  <si>
    <t>Cronin</t>
  </si>
  <si>
    <t>Zion</t>
  </si>
  <si>
    <t>Nigeria</t>
  </si>
  <si>
    <t>O Guia Definitivo de Qualidade de Sono</t>
  </si>
  <si>
    <t>Dicas para Viajar para Patagonia</t>
  </si>
  <si>
    <t>486</t>
  </si>
  <si>
    <t>Rodriguez</t>
  </si>
  <si>
    <t>Zion Rodriguez</t>
  </si>
  <si>
    <t>zion.rodriguez</t>
  </si>
  <si>
    <t>rodriguez.zion@aol.com</t>
  </si>
  <si>
    <t>RodZi34</t>
  </si>
  <si>
    <t>74129325434</t>
  </si>
  <si>
    <t>14845692212</t>
  </si>
  <si>
    <t>Zion Rodriguez LTDA</t>
  </si>
  <si>
    <t>23859080000130</t>
  </si>
  <si>
    <t>Turner Prairie</t>
  </si>
  <si>
    <t>69062</t>
  </si>
  <si>
    <t>Annamouth</t>
  </si>
  <si>
    <t>40753186</t>
  </si>
  <si>
    <t>Saint Lucia</t>
  </si>
  <si>
    <t>5353267996556517</t>
  </si>
  <si>
    <t>Oculos de Realidade Virtual Ultra-fino</t>
  </si>
  <si>
    <t>2873.58</t>
  </si>
  <si>
    <t>Um excelente oculos de realidade virtual ultra-fino da categoria Ferramentas, ideal para suas necessidades.</t>
  </si>
  <si>
    <t>Explorando o universo de Viagens e Turismo, este artigo foca em Patagonia. Sob o titulo 'Dicas para Viajar para Patagonia', apresentamos um guia pratico e informativo.</t>
  </si>
  <si>
    <t>Dawn Breitenberg</t>
  </si>
  <si>
    <t>2025-09-07T13:55:53.452Z</t>
  </si>
  <si>
    <t>34cbe5d1-8f73-414f-a394-0729aebd5dcb</t>
  </si>
  <si>
    <t>d1fdcfe7-cf1e-412f-9459-7f40350c3fe2</t>
  </si>
  <si>
    <t>ae08288a-eb0d-4c04-94d7-5e39c6fe0b8c</t>
  </si>
  <si>
    <t>Etha</t>
  </si>
  <si>
    <t>Runte</t>
  </si>
  <si>
    <t>Etha Runte</t>
  </si>
  <si>
    <t>etha.runte</t>
  </si>
  <si>
    <t>runte.etha@gmail.com</t>
  </si>
  <si>
    <t>RunEt69</t>
  </si>
  <si>
    <t>85938264669</t>
  </si>
  <si>
    <t>18186354678</t>
  </si>
  <si>
    <t>Etha Runte LTDA</t>
  </si>
  <si>
    <t>26362013000102</t>
  </si>
  <si>
    <t>Predovic Spring</t>
  </si>
  <si>
    <t>80008</t>
  </si>
  <si>
    <t>Port Fionaside</t>
  </si>
  <si>
    <t>69846715</t>
  </si>
  <si>
    <t>Central African Republic</t>
  </si>
  <si>
    <t>3589727617181475</t>
  </si>
  <si>
    <t>Roteador Wi-Fi 6 Inovador</t>
  </si>
  <si>
    <t>3954.03</t>
  </si>
  <si>
    <t>Um excelente roteador wi-fi 6 inovador da categoria Vestiveis (Wearables), ideal para suas necessidades.</t>
  </si>
  <si>
    <t>Explorando o universo de Saude e Bem-Estar, este artigo foca em Qualidade de Sono. Sob o titulo 'O Guia Definitivo de Qualidade de Sono', apresentamos um guia pratico e informativo.</t>
  </si>
  <si>
    <t>Zachariah Shanahan</t>
  </si>
  <si>
    <t>2025-09-07T13:55:54.387Z</t>
  </si>
  <si>
    <t>bc99d4ac-174f-4592-8167-96a1cb459a26</t>
  </si>
  <si>
    <t>40521062-aa30-41f5-8702-7e8181c25c2a</t>
  </si>
  <si>
    <t>a4b6b994-f35f-4d8b-8f66-db3feaa56a77</t>
  </si>
  <si>
    <t>Zoila</t>
  </si>
  <si>
    <t>Zoila Cronin</t>
  </si>
  <si>
    <t>zoila.cronin</t>
  </si>
  <si>
    <t>cronin.zoila@hotmail.com</t>
  </si>
  <si>
    <t>CroZo20</t>
  </si>
  <si>
    <t>77925033720</t>
  </si>
  <si>
    <t>14784810935</t>
  </si>
  <si>
    <t>Zoila Cronin LTDA</t>
  </si>
  <si>
    <t>99152659000120</t>
  </si>
  <si>
    <t>Reilly Burg</t>
  </si>
  <si>
    <t>50017</t>
  </si>
  <si>
    <t>Brionnaborough</t>
  </si>
  <si>
    <t>99508445</t>
  </si>
  <si>
    <t>Burundi</t>
  </si>
  <si>
    <t>2343970160619132</t>
  </si>
  <si>
    <t>SSD Externo Conectado</t>
  </si>
  <si>
    <t>1165.64</t>
  </si>
  <si>
    <t>Um excelente ssd externo conectado da categoria Impressao, ideal para suas necessidades.</t>
  </si>
  <si>
    <t>Porque Universo Marvel (MCU) Continua Relevante</t>
  </si>
  <si>
    <t>Introducao ao topico Porque Universo Marvel (MCU) Continua Relevante. Discutimos os conceitos basicos de Universo Marvel (MCU) aplicados a Cultura Pop.</t>
  </si>
  <si>
    <t>Mateo Friesen</t>
  </si>
  <si>
    <t>2025-09-07T13:55:55.274Z</t>
  </si>
  <si>
    <t>52eb6f52-8906-4278-8637-c265061f9b70</t>
  </si>
  <si>
    <t>5f1a2dd6-671d-41a4-a466-e89be9f1226f</t>
  </si>
  <si>
    <t>123bb057-543a-43a1-a78c-3aec45431fe4</t>
  </si>
  <si>
    <t>Marco</t>
  </si>
  <si>
    <t>Baumbach</t>
  </si>
  <si>
    <t>Marco Baumbach</t>
  </si>
  <si>
    <t>marco.baumbach</t>
  </si>
  <si>
    <t>baumbach.marco@yahoo.com</t>
  </si>
  <si>
    <t>BauMa86</t>
  </si>
  <si>
    <t>79112410586</t>
  </si>
  <si>
    <t>19158750704</t>
  </si>
  <si>
    <t>Marco Baumbach LTDA</t>
  </si>
  <si>
    <t>55512584000176</t>
  </si>
  <si>
    <t>Juanita Extensions</t>
  </si>
  <si>
    <t>7113</t>
  </si>
  <si>
    <t>Faybury</t>
  </si>
  <si>
    <t>59989577</t>
  </si>
  <si>
    <t>2688099037435465</t>
  </si>
  <si>
    <t>314.85</t>
  </si>
  <si>
    <t>Um excelente projetor hd versatil da categoria Acessorios, ideal para suas necessidades.</t>
  </si>
  <si>
    <t>Erros Comuns em Trafego Pago e Como Evita-los</t>
  </si>
  <si>
    <t>Para entusiastas de Marketing Digital, o tema Trafego Pago e essencial. Em 'Erros Comuns em Trafego Pago e Como Evita-los', detalhamos os pontos mais importantes que voce precisa saber.</t>
  </si>
  <si>
    <t>Jacynthe Borer</t>
  </si>
  <si>
    <t>2025-09-07T13:55:57.429Z</t>
  </si>
  <si>
    <t>f33ebf40-d132-4e9b-add7-ef4f95456497</t>
  </si>
  <si>
    <t>762bf712-6bc4-4613-9f6d-750b59b8d23d</t>
  </si>
  <si>
    <t>46cc4f8b-bd89-4b1e-8ac7-a6a52aed0822</t>
  </si>
  <si>
    <t>Lorna</t>
  </si>
  <si>
    <t>Fadel</t>
  </si>
  <si>
    <t>Lorna Fadel</t>
  </si>
  <si>
    <t>lorna.fadel</t>
  </si>
  <si>
    <t>fadel.lorna@yandex.com</t>
  </si>
  <si>
    <t>FadLo61</t>
  </si>
  <si>
    <t>45935294761</t>
  </si>
  <si>
    <t>16075845200</t>
  </si>
  <si>
    <t>Lorna Fadel LTDA</t>
  </si>
  <si>
    <t>96680928000133</t>
  </si>
  <si>
    <t>Shyann Inlet</t>
  </si>
  <si>
    <t>9504</t>
  </si>
  <si>
    <t>Edythport</t>
  </si>
  <si>
    <t>24587420</t>
  </si>
  <si>
    <t>4556406741474794</t>
  </si>
  <si>
    <t>Roteador Wi-Fi 6 Essencial</t>
  </si>
  <si>
    <t>4443.41</t>
  </si>
  <si>
    <t>Um excelente roteador wi-fi 6 essencial da categoria Eletroportateis, ideal para suas necessidades.</t>
  </si>
  <si>
    <t>Solucoes Sustentaveis para Reciclagem</t>
  </si>
  <si>
    <t>O artigo 'Solucoes Sustentaveis para Reciclagem' oferece um panorama completo sobre o assunto. A partir da perspectiva de Meio Ambiente, analisamos o impacto e as aplicacoes de Reciclagem.</t>
  </si>
  <si>
    <t>Roma Dickens</t>
  </si>
  <si>
    <t>2025-09-07T13:55:59.054Z</t>
  </si>
  <si>
    <t>19f72865-9275-4755-89d1-6638f83564b1</t>
  </si>
  <si>
    <t>a45a6ef3-a290-4fa5-bb4f-909decf26715</t>
  </si>
  <si>
    <t>75b00d76-979c-407e-8914-2c362bb08a56</t>
  </si>
  <si>
    <t>Camille</t>
  </si>
  <si>
    <t>Reinger</t>
  </si>
  <si>
    <t>Camille Reinger</t>
  </si>
  <si>
    <t>camille.reinger</t>
  </si>
  <si>
    <t>reinger.camille@me.com</t>
  </si>
  <si>
    <t>ReiCa78</t>
  </si>
  <si>
    <t>70302694978</t>
  </si>
  <si>
    <t>19414310059</t>
  </si>
  <si>
    <t>Camille Reinger LTDA</t>
  </si>
  <si>
    <t>25903729000107</t>
  </si>
  <si>
    <t>Lawson Trafficway</t>
  </si>
  <si>
    <t>809</t>
  </si>
  <si>
    <t>New Norenebury</t>
  </si>
  <si>
    <t>12318564</t>
  </si>
  <si>
    <t>Austria</t>
  </si>
  <si>
    <t>3589649063507518</t>
  </si>
  <si>
    <t>2812.28</t>
  </si>
  <si>
    <t>Um excelente batedeira planetaria de precisao da categoria Informatica, ideal para suas necessidades.</t>
  </si>
  <si>
    <t>Erros Comuns em Trafego Pago e Como Evita-los II</t>
  </si>
  <si>
    <t>Para entusiastas de Marketing Digital, o tema Trafego Pago e essencial. Em 'Erros Comuns em Trafego Pago e Como Evita-los II', detalhamos os pontos mais importantes que voce precisa saber.</t>
  </si>
  <si>
    <t>Brenna Schroeder</t>
  </si>
  <si>
    <t>2025-09-07T13:56:16.174Z</t>
  </si>
  <si>
    <t>ec560098-0ffa-485c-8b7b-0ff46b59db9b</t>
  </si>
  <si>
    <t>33e59c3b-56ba-4c44-b5b1-58e95b3e8c11</t>
  </si>
  <si>
    <t>d51f9af1-f9aa-4990-bef0-1c0ebdd4fdeb</t>
  </si>
  <si>
    <t>Alene</t>
  </si>
  <si>
    <t>Alene Barrows</t>
  </si>
  <si>
    <t>alene.barrows</t>
  </si>
  <si>
    <t>barrows.alene@gmail.com</t>
  </si>
  <si>
    <t>BarAl79</t>
  </si>
  <si>
    <t>41905582579</t>
  </si>
  <si>
    <t>12408556010</t>
  </si>
  <si>
    <t>Alene Barrows LTDA</t>
  </si>
  <si>
    <t>63783862000158</t>
  </si>
  <si>
    <t>Stoltenberg Ridges</t>
  </si>
  <si>
    <t>17088</t>
  </si>
  <si>
    <t>West Assuntamouth</t>
  </si>
  <si>
    <t>43128690</t>
  </si>
  <si>
    <t>4716464488312583</t>
  </si>
  <si>
    <t>Teclado Mecanico Tatico</t>
  </si>
  <si>
    <t>4420.39</t>
  </si>
  <si>
    <t>Um excelente teclado mecanico tatico da categoria Games, ideal para suas necessidades.</t>
  </si>
  <si>
    <t>O artigo 'Alimentacao e Meditacao' oferece um panorama completo sobre o assunto. A partir da perspectiva de Saude e Bem-Estar, analisamos o impacto e as aplicacoes de Meditacao.</t>
  </si>
  <si>
    <t>Millie Jakubowski</t>
  </si>
  <si>
    <t>2025-09-07T13:56:17.180Z</t>
  </si>
  <si>
    <t>49313296-2191-493a-884c-4de68174eadc</t>
  </si>
  <si>
    <t>5b3258df-0dc1-47f3-98b7-d61d04c2a46e</t>
  </si>
  <si>
    <t>18b4f07d-669f-481a-a467-d249c7cd57fe</t>
  </si>
  <si>
    <t>Ashleigh</t>
  </si>
  <si>
    <t>Balistreri</t>
  </si>
  <si>
    <t>Ashleigh Balistreri</t>
  </si>
  <si>
    <t>ashleigh.balistreri</t>
  </si>
  <si>
    <t>balistreri.ashleigh@uol.com.br</t>
  </si>
  <si>
    <t>BalAs43</t>
  </si>
  <si>
    <t>75697687443</t>
  </si>
  <si>
    <t>19527796160</t>
  </si>
  <si>
    <t>Ashleigh Balistreri LTDA</t>
  </si>
  <si>
    <t>81879686000134</t>
  </si>
  <si>
    <t>Moses Locks</t>
  </si>
  <si>
    <t>2678</t>
  </si>
  <si>
    <t>Stokeston</t>
  </si>
  <si>
    <t>41751554</t>
  </si>
  <si>
    <t>4986138750030015</t>
  </si>
  <si>
    <t>Mouse Gamer Reforcado</t>
  </si>
  <si>
    <t>1647.33</t>
  </si>
  <si>
    <t>Um excelente mouse gamer reforcado da categoria Drones e Acessorios, ideal para suas necessidades.</t>
  </si>
  <si>
    <t>Estrategias de Trafego Pago para 2024</t>
  </si>
  <si>
    <t>Introducao ao topico Estrategias de Trafego Pago para 2024. Discutimos os conceitos basicos de Trafego Pago aplicados a Marketing Digital.</t>
  </si>
  <si>
    <t>Jan Hamill</t>
  </si>
  <si>
    <t>2025-09-07T13:56:18.031Z</t>
  </si>
  <si>
    <t>ae4bfa0a-e395-49ba-8959-752126d50079</t>
  </si>
  <si>
    <t>c1aeec56-cd1e-4708-bce7-0763ba1ca638</t>
  </si>
  <si>
    <t>a17df893-567c-44f9-80c3-fe7f74de5f22</t>
  </si>
  <si>
    <t>Cindy</t>
  </si>
  <si>
    <t>Cindy Bosco</t>
  </si>
  <si>
    <t>cindy.bosco</t>
  </si>
  <si>
    <t>bosco.cindy@live.com</t>
  </si>
  <si>
    <t>BosCi48</t>
  </si>
  <si>
    <t>42105518648</t>
  </si>
  <si>
    <t>17188432208</t>
  </si>
  <si>
    <t>Cindy Bosco LTDA</t>
  </si>
  <si>
    <t>60354045000196</t>
  </si>
  <si>
    <t>Mayert Loaf</t>
  </si>
  <si>
    <t>East Blakeburgh</t>
  </si>
  <si>
    <t>87849356</t>
  </si>
  <si>
    <t>4929042477422911</t>
  </si>
  <si>
    <t>Aspirador Robo Industrial</t>
  </si>
  <si>
    <t>4673.66</t>
  </si>
  <si>
    <t>Um excelente aspirador robo industrial da categoria Audio e Video, ideal para suas necessidades.</t>
  </si>
  <si>
    <t>Um Futuro com Reciclagem</t>
  </si>
  <si>
    <t>Neste post, mergulhamos fundo em 'Um Futuro com Reciclagem'. Abordaremos como Reciclagem esta revolucionando o setor de Meio Ambiente e quais sao as perspectivas para o futuro.</t>
  </si>
  <si>
    <t>Dale Beatty</t>
  </si>
  <si>
    <t>2025-09-07T13:56:18.935Z</t>
  </si>
  <si>
    <t>37ec58e9-2402-4dc0-90be-1bad99c732df</t>
  </si>
  <si>
    <t>0fffdb81-95a2-42ae-9e28-3325a4b73500</t>
  </si>
  <si>
    <t>5c0cc055-edb6-4ee8-9ff4-0df4bca0a470</t>
  </si>
  <si>
    <t>Brayan</t>
  </si>
  <si>
    <t>Gutmann</t>
  </si>
  <si>
    <t>Brayan Gutmann</t>
  </si>
  <si>
    <t>brayan.gutmann</t>
  </si>
  <si>
    <t>gutmann.brayan@icloud.com</t>
  </si>
  <si>
    <t>GutBr45</t>
  </si>
  <si>
    <t>70572235445</t>
  </si>
  <si>
    <t>19297062705</t>
  </si>
  <si>
    <t>Brayan Gutmann LTDA</t>
  </si>
  <si>
    <t>78746592000182</t>
  </si>
  <si>
    <t>Sibyl Springs</t>
  </si>
  <si>
    <t>5700</t>
  </si>
  <si>
    <t>Port Stacychester</t>
  </si>
  <si>
    <t>73321844</t>
  </si>
  <si>
    <t>Lesotho</t>
  </si>
  <si>
    <t>6011726015522315</t>
  </si>
  <si>
    <t>Pelicula de Protecao Reforcado</t>
  </si>
  <si>
    <t>2987.18</t>
  </si>
  <si>
    <t>Um excelente pelicula de protecao reforcado da categoria Ferramentas, ideal para suas necessidades.</t>
  </si>
  <si>
    <t>Para entusiastas de Meio Ambiente, o tema Energias Renovaveis e essencial. Em 'O Impacto do Energias Renovaveis no Planeta', detalhamos os pontos mais importantes que voce precisa saber.</t>
  </si>
  <si>
    <t>Einar Kulas</t>
  </si>
  <si>
    <t>2025-09-07T13:56:19.932Z</t>
  </si>
  <si>
    <t>c573ea38-fc20-4d05-9e2f-0c774ebd0971</t>
  </si>
  <si>
    <t>9321e779-1f08-4cb9-82f8-81c22f74669f</t>
  </si>
  <si>
    <t>c0b5cce1-d047-464f-a9e4-9f4ec703422c</t>
  </si>
  <si>
    <t>Justine</t>
  </si>
  <si>
    <t>Justine Nienow</t>
  </si>
  <si>
    <t>justine.nienow</t>
  </si>
  <si>
    <t>nienow.justine@icloud.com</t>
  </si>
  <si>
    <t>NieJu88</t>
  </si>
  <si>
    <t>45956849088</t>
  </si>
  <si>
    <t>12517541031</t>
  </si>
  <si>
    <t>Justine Nienow LTDA</t>
  </si>
  <si>
    <t>88344671000110</t>
  </si>
  <si>
    <t>Retta Estates</t>
  </si>
  <si>
    <t>3041</t>
  </si>
  <si>
    <t>Hauckshire</t>
  </si>
  <si>
    <t>63268153</t>
  </si>
  <si>
    <t>4024007126960</t>
  </si>
  <si>
    <t>Assistente Virtual Resistente</t>
  </si>
  <si>
    <t>2518.64</t>
  </si>
  <si>
    <t>Um excelente assistente virtual resistente da categoria Ferramentas, ideal para suas necessidades.</t>
  </si>
  <si>
    <t>Uma analise sobre o tema Metodos Inovadores de Aprendizagem Hibrida. Exploramos a relevancia de Aprendizagem Hibrida para a area de Educacao.</t>
  </si>
  <si>
    <t>Lucienne Erdman</t>
  </si>
  <si>
    <t>2025-09-07T13:56:34.175Z</t>
  </si>
  <si>
    <t>e1d00f0d-ab0f-48f6-911a-6f8769211d4e</t>
  </si>
  <si>
    <t>c0aec1fb-4710-4d59-8127-71c86c1255ab</t>
  </si>
  <si>
    <t>4f475715-4fb9-46e9-afd9-ac3795a39608</t>
  </si>
  <si>
    <t>Geovany</t>
  </si>
  <si>
    <t>Oberbrunner</t>
  </si>
  <si>
    <t>Geovany Oberbrunner</t>
  </si>
  <si>
    <t>geovany.oberbrunner</t>
  </si>
  <si>
    <t>oberbrunner.geovany@yandex.com</t>
  </si>
  <si>
    <t>ObeGe02</t>
  </si>
  <si>
    <t>23868410902</t>
  </si>
  <si>
    <t>16023008296</t>
  </si>
  <si>
    <t>Geovany Oberbrunner LTDA</t>
  </si>
  <si>
    <t>25174634000191</t>
  </si>
  <si>
    <t>Rhianna Spurs</t>
  </si>
  <si>
    <t>3621</t>
  </si>
  <si>
    <t>Strosinfort</t>
  </si>
  <si>
    <t>35169386</t>
  </si>
  <si>
    <t>San Marino</t>
  </si>
  <si>
    <t>4556096826718387</t>
  </si>
  <si>
    <t>Serra Circular Resistente</t>
  </si>
  <si>
    <t>1217.63</t>
  </si>
  <si>
    <t>Um excelente serra circular resistente da categoria Redes e Conectividade, ideal para suas necessidades.</t>
  </si>
  <si>
    <t>Este e um artigo sobre Entendendo Psicanalise. O foco principal e em Psicanalise no campo da Psicologia.</t>
  </si>
  <si>
    <t>Kasey Wuckert</t>
  </si>
  <si>
    <t>2025-09-07T13:56:35.088Z</t>
  </si>
  <si>
    <t>015a3276-0e1a-4e6e-9c7f-c60781fd021b</t>
  </si>
  <si>
    <t>ac219d78-6adc-4990-b096-9c1803389589</t>
  </si>
  <si>
    <t>933a663b-ed59-485b-bca2-a30dd3b593f7</t>
  </si>
  <si>
    <t>CT-01.1</t>
  </si>
  <si>
    <t>CT-01.2</t>
  </si>
  <si>
    <t>CT-01.3</t>
  </si>
  <si>
    <t>CT-01.4</t>
  </si>
  <si>
    <t>CT-01.5</t>
  </si>
  <si>
    <t>CT-01.6</t>
  </si>
  <si>
    <t>CT-01.7</t>
  </si>
  <si>
    <t>CT-01.8</t>
  </si>
  <si>
    <t>CT-02.1</t>
  </si>
  <si>
    <t>Validar cadastro de chave PIX - Email</t>
  </si>
  <si>
    <t>PIX</t>
  </si>
  <si>
    <t>Jean Sousa</t>
  </si>
  <si>
    <t>jean@test.com</t>
  </si>
  <si>
    <t>admin999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</si>
</sst>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49" fontId="3" fillId="4" borderId="0" xfId="0" applyNumberFormat="1" applyFont="1" applyFill="1" applyAlignment="1">
      <alignment horizontal="center" vertical="center"/>
    </xf>
    <xf numFmtId="49" fontId="0" fillId="3" borderId="0" xfId="0" applyNumberFormat="1" applyFill="1" applyAlignment="1">
      <alignment horizontal="center"/>
    </xf>
    <xf numFmtId="0" fontId="2" fillId="0" borderId="0" xfId="1" applyNumberFormat="1" applyAlignment="1">
      <alignment horizontal="left" vertical="center"/>
    </xf>
  </cellXfs>
  <cellStyles count="2">
    <cellStyle name="Hiperlink" xfId="1" builtinId="8"/>
    <cellStyle name="Normal" xfId="0" builtinId="0"/>
  </cellStyles>
  <dxfs count="18">
    <dxf>
      <numFmt numFmtId="0" formatCode="General"/>
      <alignment horizontal="left" textRotation="0" wrapText="0" indent="0" justifyLastLine="0" shrinkToFit="0" readingOrder="0"/>
    </dxf>
    <dxf>
      <numFmt numFmtId="0" formatCode="General"/>
      <alignment horizontal="left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textRotation="0" wrapText="0" indent="0" justifyLastLine="0" shrinkToFit="0" readingOrder="0"/>
    </dxf>
    <dxf>
      <numFmt numFmtId="0" formatCode="General"/>
      <alignment horizontal="left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6F21A2-18B3-4119-B8E1-51F7C4D22D38}" name="Tabela1" displayName="Tabela1" ref="A1:J10" totalsRowShown="0" headerRowDxfId="17">
  <autoFilter ref="A1:J10" xr:uid="{056F21A2-18B3-4119-B8E1-51F7C4D22D38}"/>
  <sortState xmlns:xlrd2="http://schemas.microsoft.com/office/spreadsheetml/2017/richdata2" ref="A2:J9">
    <sortCondition ref="B1:B9"/>
  </sortState>
  <tableColumns count="10">
    <tableColumn id="1" xr3:uid="{240E8A87-6B9D-469C-96B4-1ADF1A1B51F9}" name="SEQ" dataDxfId="16"/>
    <tableColumn id="2" xr3:uid="{A5A7BB75-84B5-4E70-9BA0-C776DE14C91C}" name="ID_CENARIO" dataDxfId="15"/>
    <tableColumn id="3" xr3:uid="{F8063F50-952C-4E2D-A074-3E8144115D2A}" name="NOME"/>
    <tableColumn id="4" xr3:uid="{8DDE6FAA-E6CF-4246-9642-56091E15680F}" name="FEATURE" dataDxfId="14"/>
    <tableColumn id="5" xr3:uid="{C3B59964-FB20-45D3-83A9-C8E4430D8B4D}" name="ID_MASSA" dataDxfId="13"/>
    <tableColumn id="6" xr3:uid="{BD63E5A8-2387-4287-9027-FC33B730B309}" name="EMAIL" dataDxfId="12">
      <calculatedColumnFormula>VLOOKUP(Tabela1[[#This Row],[ID_MASSA]],Tabela15[[ID_MASSA]:[SENHA]],4,FALSE)</calculatedColumnFormula>
    </tableColumn>
    <tableColumn id="10" xr3:uid="{BC16A81B-1C0C-4894-BA93-501560053E29}" name="SENHA" dataDxfId="11">
      <calculatedColumnFormula>VLOOKUP(Tabela1[[#This Row],[ID_MASSA]],Tabela15[[ID_MASSA]:[SENHA]],5,FALSE)</calculatedColumnFormula>
    </tableColumn>
    <tableColumn id="7" xr3:uid="{B89F7EB3-E18D-4B11-80BD-03538541B067}" name="CARACTERISTICAS"/>
    <tableColumn id="8" xr3:uid="{91B77134-9262-4982-8071-0C4FB038C565}" name="OBSERVAÇÃO"/>
    <tableColumn id="9" xr3:uid="{88B2B33A-A61C-4E21-927A-BA2F7510438A}" name="SPRINT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3113370-7307-4D9F-A005-28D4D96B86FA}" name="Tabela15" displayName="Tabela15" ref="A1:I10" totalsRowShown="0" headerRowDxfId="10" dataDxfId="9">
  <autoFilter ref="A1:I10" xr:uid="{056F21A2-18B3-4119-B8E1-51F7C4D22D38}"/>
  <tableColumns count="9">
    <tableColumn id="1" xr3:uid="{76DED8C3-CAED-4F92-BEFF-1D1672477026}" name="SEQ" dataDxfId="8"/>
    <tableColumn id="2" xr3:uid="{1B34B2D7-6E01-4503-BF80-E6FA0B5264BE}" name="ID_MASSA" dataDxfId="7"/>
    <tableColumn id="3" xr3:uid="{2A87BFE1-F7B7-4CC5-BF83-A1ACA0AA1B71}" name="NOME_COMPLETO" dataDxfId="6"/>
    <tableColumn id="4" xr3:uid="{CEE84FB7-6516-43D3-A087-5E2B5901F371}" name="NOME_USUARIO" dataDxfId="5"/>
    <tableColumn id="5" xr3:uid="{A94F6B35-2950-495F-ABAD-80D52A635FCB}" name="EMAIL" dataDxfId="4"/>
    <tableColumn id="7" xr3:uid="{C45F2582-248A-4FD2-93C4-DC5EE6FD9337}" name="SENHA" dataDxfId="3"/>
    <tableColumn id="6" xr3:uid="{4A91FF1E-8039-4084-81C6-46AC93CD4987}" name="ID_USUARIO" dataDxfId="2"/>
    <tableColumn id="8" xr3:uid="{76915B7C-C8DF-49DC-AE8C-85A8E195B653}" name="ID_CATEGORIA" dataDxfId="1"/>
    <tableColumn id="9" xr3:uid="{7019F3A5-C393-4DF2-A287-B48B03B927F9}" name="ID_ARTIGO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mailto:jean@tes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71858-38D3-4D97-A145-DA082D656605}">
  <dimension ref="A1:J10"/>
  <sheetViews>
    <sheetView workbookViewId="0">
      <selection activeCell="A10" sqref="A10"/>
    </sheetView>
  </sheetViews>
  <sheetFormatPr defaultRowHeight="15" x14ac:dyDescent="0.25"/>
  <cols>
    <col min="1" max="1" width="8.42578125" style="1" customWidth="1"/>
    <col min="2" max="2" width="14" style="1" customWidth="1"/>
    <col min="3" max="3" width="55.140625" customWidth="1"/>
    <col min="4" max="4" width="11.28515625" style="1" bestFit="1" customWidth="1"/>
    <col min="5" max="5" width="14" style="4" customWidth="1"/>
    <col min="6" max="6" width="35.140625" style="2" customWidth="1"/>
    <col min="7" max="7" width="21" style="2" customWidth="1"/>
    <col min="8" max="8" width="20.42578125" bestFit="1" customWidth="1"/>
    <col min="9" max="9" width="15.85546875" bestFit="1" customWidth="1"/>
    <col min="10" max="10" width="9.85546875" bestFit="1" customWidth="1"/>
  </cols>
  <sheetData>
    <row r="1" spans="1:10" s="3" customFormat="1" ht="42.75" customHeight="1" x14ac:dyDescent="0.25">
      <c r="A1" s="3" t="s">
        <v>2</v>
      </c>
      <c r="B1" s="3" t="s">
        <v>3</v>
      </c>
      <c r="C1" s="3" t="s">
        <v>4</v>
      </c>
      <c r="D1" s="3" t="s">
        <v>0</v>
      </c>
      <c r="E1" s="4" t="s">
        <v>28</v>
      </c>
      <c r="F1" s="3" t="s">
        <v>19</v>
      </c>
      <c r="G1" s="3" t="s">
        <v>1</v>
      </c>
      <c r="H1" s="3" t="s">
        <v>6</v>
      </c>
      <c r="I1" s="3" t="s">
        <v>7</v>
      </c>
      <c r="J1" s="3" t="s">
        <v>8</v>
      </c>
    </row>
    <row r="2" spans="1:10" x14ac:dyDescent="0.25">
      <c r="A2" s="1">
        <v>1</v>
      </c>
      <c r="B2" s="1" t="s">
        <v>445</v>
      </c>
      <c r="C2" t="s">
        <v>9</v>
      </c>
      <c r="D2" s="1" t="s">
        <v>16</v>
      </c>
      <c r="E2" s="4" t="s">
        <v>20</v>
      </c>
      <c r="F2" s="2" t="str">
        <f>VLOOKUP(Tabela1[[#This Row],[ID_MASSA]],Tabela15[[ID_MASSA]:[SENHA]],4,FALSE)</f>
        <v>rodriguez.zion@aol.com</v>
      </c>
      <c r="G2" s="2" t="str">
        <f>VLOOKUP(Tabela1[[#This Row],[ID_MASSA]],Tabela15[[ID_MASSA]:[SENHA]],5,FALSE)</f>
        <v>RodZi34</v>
      </c>
    </row>
    <row r="3" spans="1:10" x14ac:dyDescent="0.25">
      <c r="A3" s="1">
        <v>2</v>
      </c>
      <c r="B3" s="1" t="s">
        <v>446</v>
      </c>
      <c r="C3" s="9" t="s">
        <v>29</v>
      </c>
      <c r="D3" s="8" t="s">
        <v>16</v>
      </c>
      <c r="E3" s="4" t="s">
        <v>20</v>
      </c>
      <c r="F3" s="2" t="str">
        <f>VLOOKUP(Tabela1[[#This Row],[ID_MASSA]],Tabela15[[ID_MASSA]:[SENHA]],4,FALSE)</f>
        <v>rodriguez.zion@aol.com</v>
      </c>
      <c r="G3" s="10" t="str">
        <f>VLOOKUP(Tabela1[[#This Row],[ID_MASSA]],Tabela15[[ID_MASSA]:[SENHA]],5,FALSE)</f>
        <v>RodZi34</v>
      </c>
      <c r="H3" s="9"/>
      <c r="I3" s="9"/>
      <c r="J3" s="9"/>
    </row>
    <row r="4" spans="1:10" x14ac:dyDescent="0.25">
      <c r="A4" s="1">
        <v>3</v>
      </c>
      <c r="B4" s="1" t="s">
        <v>447</v>
      </c>
      <c r="C4" s="9" t="s">
        <v>12</v>
      </c>
      <c r="D4" s="8" t="s">
        <v>16</v>
      </c>
      <c r="E4" s="4" t="s">
        <v>22</v>
      </c>
      <c r="F4" s="2" t="str">
        <f>VLOOKUP(Tabela1[[#This Row],[ID_MASSA]],Tabela15[[ID_MASSA]:[SENHA]],4,FALSE)</f>
        <v>runte.etha@gmail.com</v>
      </c>
      <c r="G4" s="10" t="str">
        <f>VLOOKUP(Tabela1[[#This Row],[ID_MASSA]],Tabela15[[ID_MASSA]:[SENHA]],5,FALSE)</f>
        <v>RunEt69</v>
      </c>
      <c r="H4" s="9"/>
      <c r="I4" s="9"/>
      <c r="J4" s="9"/>
    </row>
    <row r="5" spans="1:10" x14ac:dyDescent="0.25">
      <c r="A5" s="1">
        <v>4</v>
      </c>
      <c r="B5" s="1" t="s">
        <v>448</v>
      </c>
      <c r="C5" s="9" t="s">
        <v>13</v>
      </c>
      <c r="D5" s="8" t="s">
        <v>16</v>
      </c>
      <c r="E5" s="4" t="s">
        <v>23</v>
      </c>
      <c r="F5" s="2" t="str">
        <f>VLOOKUP(Tabela1[[#This Row],[ID_MASSA]],Tabela15[[ID_MASSA]:[SENHA]],4,FALSE)</f>
        <v>cronin.zoila@hotmail.com</v>
      </c>
      <c r="G5" s="10" t="str">
        <f>VLOOKUP(Tabela1[[#This Row],[ID_MASSA]],Tabela15[[ID_MASSA]:[SENHA]],5,FALSE)</f>
        <v>CroZo20</v>
      </c>
      <c r="H5" s="9"/>
      <c r="I5" s="9"/>
      <c r="J5" s="9"/>
    </row>
    <row r="6" spans="1:10" x14ac:dyDescent="0.25">
      <c r="A6" s="1">
        <v>5</v>
      </c>
      <c r="B6" s="1" t="s">
        <v>449</v>
      </c>
      <c r="C6" s="9" t="s">
        <v>14</v>
      </c>
      <c r="D6" s="8" t="s">
        <v>16</v>
      </c>
      <c r="E6" s="4" t="s">
        <v>24</v>
      </c>
      <c r="F6" s="2" t="str">
        <f>VLOOKUP(Tabela1[[#This Row],[ID_MASSA]],Tabela15[[ID_MASSA]:[SENHA]],4,FALSE)</f>
        <v>baumbach.marco@yahoo.com</v>
      </c>
      <c r="G6" s="10" t="str">
        <f>VLOOKUP(Tabela1[[#This Row],[ID_MASSA]],Tabela15[[ID_MASSA]:[SENHA]],5,FALSE)</f>
        <v>BauMa86</v>
      </c>
      <c r="H6" s="9"/>
      <c r="I6" s="9"/>
      <c r="J6" s="9"/>
    </row>
    <row r="7" spans="1:10" x14ac:dyDescent="0.25">
      <c r="A7" s="1">
        <v>6</v>
      </c>
      <c r="B7" s="1" t="s">
        <v>450</v>
      </c>
      <c r="C7" s="9" t="s">
        <v>15</v>
      </c>
      <c r="D7" s="8" t="s">
        <v>16</v>
      </c>
      <c r="E7" s="4" t="s">
        <v>25</v>
      </c>
      <c r="F7" s="2" t="str">
        <f>VLOOKUP(Tabela1[[#This Row],[ID_MASSA]],Tabela15[[ID_MASSA]:[SENHA]],4,FALSE)</f>
        <v>fadel.lorna@yandex.com</v>
      </c>
      <c r="G7" s="10" t="str">
        <f>VLOOKUP(Tabela1[[#This Row],[ID_MASSA]],Tabela15[[ID_MASSA]:[SENHA]],5,FALSE)</f>
        <v>FadLo61</v>
      </c>
      <c r="H7" s="9"/>
      <c r="I7" s="9"/>
      <c r="J7" s="9"/>
    </row>
    <row r="8" spans="1:10" x14ac:dyDescent="0.25">
      <c r="A8" s="1">
        <v>7</v>
      </c>
      <c r="B8" s="1" t="s">
        <v>451</v>
      </c>
      <c r="C8" t="s">
        <v>10</v>
      </c>
      <c r="D8" s="1" t="s">
        <v>16</v>
      </c>
      <c r="E8" s="4" t="s">
        <v>26</v>
      </c>
      <c r="F8" s="2" t="str">
        <f>VLOOKUP(Tabela1[[#This Row],[ID_MASSA]],Tabela15[[ID_MASSA]:[SENHA]],4,FALSE)</f>
        <v>reinger.camille@me.com</v>
      </c>
      <c r="G8" s="2" t="str">
        <f>VLOOKUP(Tabela1[[#This Row],[ID_MASSA]],Tabela15[[ID_MASSA]:[SENHA]],5,FALSE)</f>
        <v>ReiCa78</v>
      </c>
    </row>
    <row r="9" spans="1:10" x14ac:dyDescent="0.25">
      <c r="A9" s="1">
        <v>8</v>
      </c>
      <c r="B9" s="1" t="s">
        <v>452</v>
      </c>
      <c r="C9" t="s">
        <v>11</v>
      </c>
      <c r="D9" s="1" t="s">
        <v>16</v>
      </c>
      <c r="E9" s="4" t="s">
        <v>27</v>
      </c>
      <c r="F9" s="2" t="str">
        <f>VLOOKUP(Tabela1[[#This Row],[ID_MASSA]],Tabela15[[ID_MASSA]:[SENHA]],4,FALSE)</f>
        <v>barrows.alene@gmail.com</v>
      </c>
      <c r="G9" s="2" t="str">
        <f>VLOOKUP(Tabela1[[#This Row],[ID_MASSA]],Tabela15[[ID_MASSA]:[SENHA]],5,FALSE)</f>
        <v>BarAl79</v>
      </c>
    </row>
    <row r="10" spans="1:10" x14ac:dyDescent="0.25">
      <c r="A10" s="1" t="s">
        <v>453</v>
      </c>
      <c r="B10" s="1" t="s">
        <v>453</v>
      </c>
      <c r="C10" t="s">
        <v>454</v>
      </c>
      <c r="D10" s="1" t="s">
        <v>455</v>
      </c>
      <c r="E10" s="4" t="s">
        <v>21</v>
      </c>
      <c r="F10" s="2" t="str">
        <f>VLOOKUP(Tabela1[[#This Row],[ID_MASSA]],Tabela15[[ID_MASSA]:[SENHA]],4,FALSE)</f>
        <v>jean@test.com</v>
      </c>
      <c r="G10" s="2" t="str">
        <f>VLOOKUP(Tabela1[[#This Row],[ID_MASSA]],Tabela15[[ID_MASSA]:[SENHA]],5,FALSE)</f>
        <v>admin999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4E9FD-68D5-4E43-8196-C7334FA814AB}">
  <dimension ref="A1:I10"/>
  <sheetViews>
    <sheetView tabSelected="1" workbookViewId="0">
      <selection sqref="A1:XFD1048576"/>
    </sheetView>
  </sheetViews>
  <sheetFormatPr defaultRowHeight="15" x14ac:dyDescent="0.25"/>
  <cols>
    <col min="1" max="1" width="9.28515625" style="7" bestFit="1" customWidth="1"/>
    <col min="2" max="2" width="14.28515625" style="7" bestFit="1" customWidth="1"/>
    <col min="3" max="3" width="21.28515625" bestFit="1" customWidth="1"/>
    <col min="4" max="4" width="18" style="2" bestFit="1" customWidth="1"/>
    <col min="5" max="5" width="29" style="3" bestFit="1" customWidth="1"/>
    <col min="6" max="6" width="9.7109375" style="12" bestFit="1" customWidth="1"/>
    <col min="7" max="7" width="37.42578125" style="12" bestFit="1" customWidth="1"/>
    <col min="8" max="8" width="37.5703125" style="2" bestFit="1" customWidth="1"/>
    <col min="9" max="9" width="37.5703125" bestFit="1" customWidth="1"/>
    <col min="10" max="10" width="12" customWidth="1"/>
  </cols>
  <sheetData>
    <row r="1" spans="1:9" s="6" customFormat="1" ht="42.75" customHeight="1" x14ac:dyDescent="0.25">
      <c r="A1" s="5" t="s">
        <v>2</v>
      </c>
      <c r="B1" s="5" t="s">
        <v>28</v>
      </c>
      <c r="C1" s="6" t="s">
        <v>17</v>
      </c>
      <c r="D1" s="11" t="s">
        <v>18</v>
      </c>
      <c r="E1" s="6" t="s">
        <v>19</v>
      </c>
      <c r="F1" s="11" t="s">
        <v>1</v>
      </c>
      <c r="G1" s="11" t="s">
        <v>5</v>
      </c>
      <c r="H1" s="6" t="s">
        <v>104</v>
      </c>
      <c r="I1" s="6" t="s">
        <v>106</v>
      </c>
    </row>
    <row r="2" spans="1:9" x14ac:dyDescent="0.25">
      <c r="A2" s="13" t="s">
        <v>30</v>
      </c>
      <c r="B2" s="13" t="s">
        <v>20</v>
      </c>
      <c r="C2" s="2" t="str">
        <f>TBL_MASSA_CADASTRADA!C2</f>
        <v>Zion Rodriguez</v>
      </c>
      <c r="D2" s="2" t="str">
        <f>TBL_MASSA_CADASTRADA!D2</f>
        <v>zion.rodriguez</v>
      </c>
      <c r="E2" s="2" t="str">
        <f>TBL_MASSA_CADASTRADA!E2</f>
        <v>rodriguez.zion@aol.com</v>
      </c>
      <c r="F2" s="2" t="str">
        <f>TBL_MASSA_CADASTRADA!F2</f>
        <v>RodZi34</v>
      </c>
      <c r="G2" s="2" t="str">
        <f>TBL_MASSA_CADASTRADA!AD2</f>
        <v>34cbe5d1-8f73-414f-a394-0729aebd5dcb</v>
      </c>
      <c r="H2" s="2" t="str">
        <f>TBL_MASSA_CADASTRADA!AF2</f>
        <v>d1fdcfe7-cf1e-412f-9459-7f40350c3fe2</v>
      </c>
      <c r="I2" s="2" t="str">
        <f>TBL_MASSA_CADASTRADA!AH2</f>
        <v>ae08288a-eb0d-4c04-94d7-5e39c6fe0b8c</v>
      </c>
    </row>
    <row r="3" spans="1:9" x14ac:dyDescent="0.25">
      <c r="A3" s="7" t="s">
        <v>31</v>
      </c>
      <c r="B3" s="7" t="s">
        <v>22</v>
      </c>
      <c r="C3" s="2" t="str">
        <f>TBL_MASSA_CADASTRADA!C3</f>
        <v>Etha Runte</v>
      </c>
      <c r="D3" s="2" t="str">
        <f>TBL_MASSA_CADASTRADA!D3</f>
        <v>etha.runte</v>
      </c>
      <c r="E3" s="2" t="str">
        <f>TBL_MASSA_CADASTRADA!E3</f>
        <v>runte.etha@gmail.com</v>
      </c>
      <c r="F3" s="2" t="str">
        <f>TBL_MASSA_CADASTRADA!F3</f>
        <v>RunEt69</v>
      </c>
      <c r="G3" s="2" t="str">
        <f>TBL_MASSA_CADASTRADA!AD3</f>
        <v>bc99d4ac-174f-4592-8167-96a1cb459a26</v>
      </c>
      <c r="H3" s="2" t="str">
        <f>TBL_MASSA_CADASTRADA!AF3</f>
        <v>40521062-aa30-41f5-8702-7e8181c25c2a</v>
      </c>
      <c r="I3" s="2" t="str">
        <f>TBL_MASSA_CADASTRADA!AH3</f>
        <v>a4b6b994-f35f-4d8b-8f66-db3feaa56a77</v>
      </c>
    </row>
    <row r="4" spans="1:9" x14ac:dyDescent="0.25">
      <c r="A4" s="7" t="s">
        <v>32</v>
      </c>
      <c r="B4" s="7" t="s">
        <v>23</v>
      </c>
      <c r="C4" s="2" t="str">
        <f>TBL_MASSA_CADASTRADA!C4</f>
        <v>Zoila Cronin</v>
      </c>
      <c r="D4" s="2" t="str">
        <f>TBL_MASSA_CADASTRADA!D4</f>
        <v>zoila.cronin</v>
      </c>
      <c r="E4" s="2" t="str">
        <f>TBL_MASSA_CADASTRADA!E4</f>
        <v>cronin.zoila@hotmail.com</v>
      </c>
      <c r="F4" s="2" t="str">
        <f>TBL_MASSA_CADASTRADA!F4</f>
        <v>CroZo20</v>
      </c>
      <c r="G4" s="2" t="str">
        <f>TBL_MASSA_CADASTRADA!AD4</f>
        <v>52eb6f52-8906-4278-8637-c265061f9b70</v>
      </c>
      <c r="H4" s="2" t="str">
        <f>TBL_MASSA_CADASTRADA!AF4</f>
        <v>5f1a2dd6-671d-41a4-a466-e89be9f1226f</v>
      </c>
      <c r="I4" s="2" t="str">
        <f>TBL_MASSA_CADASTRADA!AH4</f>
        <v>123bb057-543a-43a1-a78c-3aec45431fe4</v>
      </c>
    </row>
    <row r="5" spans="1:9" x14ac:dyDescent="0.25">
      <c r="A5" s="7" t="s">
        <v>33</v>
      </c>
      <c r="B5" s="7" t="s">
        <v>24</v>
      </c>
      <c r="C5" s="2" t="str">
        <f>TBL_MASSA_CADASTRADA!C5</f>
        <v>Marco Baumbach</v>
      </c>
      <c r="D5" s="2" t="str">
        <f>TBL_MASSA_CADASTRADA!D5</f>
        <v>marco.baumbach</v>
      </c>
      <c r="E5" s="2" t="str">
        <f>TBL_MASSA_CADASTRADA!E5</f>
        <v>baumbach.marco@yahoo.com</v>
      </c>
      <c r="F5" s="2" t="str">
        <f>TBL_MASSA_CADASTRADA!F5</f>
        <v>BauMa86</v>
      </c>
      <c r="G5" s="2" t="str">
        <f>TBL_MASSA_CADASTRADA!AD5</f>
        <v>f33ebf40-d132-4e9b-add7-ef4f95456497</v>
      </c>
      <c r="H5" s="2" t="str">
        <f>TBL_MASSA_CADASTRADA!AF5</f>
        <v>762bf712-6bc4-4613-9f6d-750b59b8d23d</v>
      </c>
      <c r="I5" s="2" t="str">
        <f>TBL_MASSA_CADASTRADA!AH5</f>
        <v>46cc4f8b-bd89-4b1e-8ac7-a6a52aed0822</v>
      </c>
    </row>
    <row r="6" spans="1:9" x14ac:dyDescent="0.25">
      <c r="A6" s="14" t="s">
        <v>34</v>
      </c>
      <c r="B6" s="14" t="s">
        <v>25</v>
      </c>
      <c r="C6" s="2" t="str">
        <f>TBL_MASSA_CADASTRADA!C6</f>
        <v>Lorna Fadel</v>
      </c>
      <c r="D6" s="2" t="str">
        <f>TBL_MASSA_CADASTRADA!D6</f>
        <v>lorna.fadel</v>
      </c>
      <c r="E6" s="2" t="str">
        <f>TBL_MASSA_CADASTRADA!E6</f>
        <v>fadel.lorna@yandex.com</v>
      </c>
      <c r="F6" s="2" t="str">
        <f>TBL_MASSA_CADASTRADA!F6</f>
        <v>FadLo61</v>
      </c>
      <c r="G6" s="2" t="str">
        <f>TBL_MASSA_CADASTRADA!AD6</f>
        <v>19f72865-9275-4755-89d1-6638f83564b1</v>
      </c>
      <c r="H6" s="2" t="str">
        <f>TBL_MASSA_CADASTRADA!AF6</f>
        <v>a45a6ef3-a290-4fa5-bb4f-909decf26715</v>
      </c>
      <c r="I6" s="2" t="str">
        <f>TBL_MASSA_CADASTRADA!AH6</f>
        <v>75b00d76-979c-407e-8914-2c362bb08a56</v>
      </c>
    </row>
    <row r="7" spans="1:9" x14ac:dyDescent="0.25">
      <c r="A7" s="7" t="s">
        <v>35</v>
      </c>
      <c r="B7" s="7" t="s">
        <v>26</v>
      </c>
      <c r="C7" s="2" t="str">
        <f>TBL_MASSA_CADASTRADA!C7</f>
        <v>Camille Reinger</v>
      </c>
      <c r="D7" s="2" t="str">
        <f>TBL_MASSA_CADASTRADA!D7</f>
        <v>camille.reinger</v>
      </c>
      <c r="E7" s="2" t="str">
        <f>TBL_MASSA_CADASTRADA!E7</f>
        <v>reinger.camille@me.com</v>
      </c>
      <c r="F7" s="2" t="str">
        <f>TBL_MASSA_CADASTRADA!F7</f>
        <v>ReiCa78</v>
      </c>
      <c r="G7" s="2" t="str">
        <f>TBL_MASSA_CADASTRADA!AD7</f>
        <v>ec560098-0ffa-485c-8b7b-0ff46b59db9b</v>
      </c>
      <c r="H7" s="2" t="str">
        <f>TBL_MASSA_CADASTRADA!AF7</f>
        <v>33e59c3b-56ba-4c44-b5b1-58e95b3e8c11</v>
      </c>
      <c r="I7" s="2" t="str">
        <f>TBL_MASSA_CADASTRADA!AH7</f>
        <v>d51f9af1-f9aa-4990-bef0-1c0ebdd4fdeb</v>
      </c>
    </row>
    <row r="8" spans="1:9" x14ac:dyDescent="0.25">
      <c r="A8" s="7" t="s">
        <v>36</v>
      </c>
      <c r="B8" s="7" t="s">
        <v>27</v>
      </c>
      <c r="C8" s="2" t="str">
        <f>TBL_MASSA_CADASTRADA!C8</f>
        <v>Alene Barrows</v>
      </c>
      <c r="D8" s="2" t="str">
        <f>TBL_MASSA_CADASTRADA!D8</f>
        <v>alene.barrows</v>
      </c>
      <c r="E8" s="2" t="str">
        <f>TBL_MASSA_CADASTRADA!E8</f>
        <v>barrows.alene@gmail.com</v>
      </c>
      <c r="F8" s="2" t="str">
        <f>TBL_MASSA_CADASTRADA!F8</f>
        <v>BarAl79</v>
      </c>
      <c r="G8" s="2" t="str">
        <f>TBL_MASSA_CADASTRADA!AD8</f>
        <v>49313296-2191-493a-884c-4de68174eadc</v>
      </c>
      <c r="H8" s="2" t="str">
        <f>TBL_MASSA_CADASTRADA!AF8</f>
        <v>5b3258df-0dc1-47f3-98b7-d61d04c2a46e</v>
      </c>
      <c r="I8" s="2" t="str">
        <f>TBL_MASSA_CADASTRADA!AH8</f>
        <v>18b4f07d-669f-481a-a467-d249c7cd57fe</v>
      </c>
    </row>
    <row r="9" spans="1:9" x14ac:dyDescent="0.25">
      <c r="A9" s="7" t="s">
        <v>37</v>
      </c>
      <c r="B9" s="7" t="s">
        <v>21</v>
      </c>
      <c r="C9" s="2" t="s">
        <v>456</v>
      </c>
      <c r="D9" s="2" t="s">
        <v>456</v>
      </c>
      <c r="E9" s="15" t="s">
        <v>457</v>
      </c>
      <c r="F9" s="12" t="s">
        <v>458</v>
      </c>
      <c r="I9" s="2"/>
    </row>
    <row r="10" spans="1:9" x14ac:dyDescent="0.25">
      <c r="A10" s="7" t="s">
        <v>453</v>
      </c>
      <c r="B10" s="7" t="s">
        <v>453</v>
      </c>
      <c r="C10" s="2"/>
      <c r="E10" s="12"/>
      <c r="I10" s="2"/>
    </row>
  </sheetData>
  <phoneticPr fontId="1" type="noConversion"/>
  <hyperlinks>
    <hyperlink ref="E9" r:id="rId1" xr:uid="{823230CA-A15A-44B4-A60D-D8973C3963B9}"/>
  </hyperlinks>
  <pageMargins left="0.511811024" right="0.511811024" top="0.78740157499999996" bottom="0.78740157499999996" header="0.31496062000000002" footer="0.31496062000000002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3"/>
  <sheetViews>
    <sheetView workbookViewId="0">
      <selection activeCell="A14" sqref="A14:XFD156"/>
    </sheetView>
  </sheetViews>
  <sheetFormatPr defaultRowHeight="15" x14ac:dyDescent="0.25"/>
  <cols>
    <col min="1" max="1" width="10.85546875" bestFit="1" customWidth="1"/>
    <col min="2" max="2" width="11.140625" bestFit="1" customWidth="1"/>
    <col min="3" max="3" width="18.85546875" bestFit="1" customWidth="1"/>
    <col min="4" max="4" width="18.140625" bestFit="1" customWidth="1"/>
    <col min="5" max="5" width="29.5703125" bestFit="1" customWidth="1"/>
    <col min="6" max="6" width="9" bestFit="1" customWidth="1"/>
    <col min="7" max="7" width="12" bestFit="1" customWidth="1"/>
    <col min="8" max="9" width="11.85546875" bestFit="1" customWidth="1"/>
    <col min="10" max="10" width="23.85546875" bestFit="1" customWidth="1"/>
    <col min="11" max="11" width="14.85546875" bestFit="1" customWidth="1"/>
    <col min="12" max="12" width="17.5703125" bestFit="1" customWidth="1"/>
    <col min="13" max="13" width="15" bestFit="1" customWidth="1"/>
    <col min="14" max="14" width="20.5703125" bestFit="1" customWidth="1"/>
    <col min="15" max="15" width="16.42578125" bestFit="1" customWidth="1"/>
    <col min="16" max="16" width="8.85546875" bestFit="1" customWidth="1"/>
    <col min="17" max="17" width="38.7109375" bestFit="1" customWidth="1"/>
    <col min="18" max="18" width="16.85546875" bestFit="1" customWidth="1"/>
    <col min="19" max="19" width="13.28515625" bestFit="1" customWidth="1"/>
    <col min="20" max="20" width="34.140625" bestFit="1" customWidth="1"/>
    <col min="21" max="21" width="7.42578125" bestFit="1" customWidth="1"/>
    <col min="22" max="22" width="92.7109375" bestFit="1" customWidth="1"/>
    <col min="23" max="23" width="10.140625" bestFit="1" customWidth="1"/>
    <col min="24" max="24" width="22.140625" bestFit="1" customWidth="1"/>
    <col min="25" max="25" width="44.140625" bestFit="1" customWidth="1"/>
    <col min="26" max="26" width="50.28515625" bestFit="1" customWidth="1"/>
    <col min="27" max="27" width="186.28515625" bestFit="1" customWidth="1"/>
    <col min="28" max="28" width="17.5703125" bestFit="1" customWidth="1"/>
    <col min="29" max="29" width="22.85546875" bestFit="1" customWidth="1"/>
    <col min="30" max="30" width="35.28515625" bestFit="1" customWidth="1"/>
    <col min="31" max="31" width="21.140625" bestFit="1" customWidth="1"/>
    <col min="32" max="32" width="35.28515625" bestFit="1" customWidth="1"/>
    <col min="33" max="33" width="21.140625" bestFit="1" customWidth="1"/>
    <col min="34" max="34" width="35.28515625" bestFit="1" customWidth="1"/>
    <col min="35" max="35" width="21.140625" bestFit="1" customWidth="1"/>
  </cols>
  <sheetData>
    <row r="1" spans="1:35" x14ac:dyDescent="0.25">
      <c r="A1" t="s">
        <v>109</v>
      </c>
      <c r="B1" t="s">
        <v>110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111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71</v>
      </c>
      <c r="AD1" t="s">
        <v>5</v>
      </c>
      <c r="AE1" t="s">
        <v>72</v>
      </c>
      <c r="AF1" t="s">
        <v>104</v>
      </c>
      <c r="AG1" t="s">
        <v>105</v>
      </c>
      <c r="AH1" t="s">
        <v>106</v>
      </c>
      <c r="AI1" t="s">
        <v>107</v>
      </c>
    </row>
    <row r="2" spans="1:35" x14ac:dyDescent="0.25">
      <c r="A2" t="s">
        <v>148</v>
      </c>
      <c r="B2" t="s">
        <v>153</v>
      </c>
      <c r="C2" t="s">
        <v>154</v>
      </c>
      <c r="D2" t="s">
        <v>155</v>
      </c>
      <c r="E2" t="s">
        <v>156</v>
      </c>
      <c r="F2" t="s">
        <v>157</v>
      </c>
      <c r="G2" t="s">
        <v>73</v>
      </c>
      <c r="H2" t="s">
        <v>158</v>
      </c>
      <c r="I2" t="s">
        <v>159</v>
      </c>
      <c r="J2" t="s">
        <v>160</v>
      </c>
      <c r="K2" t="s">
        <v>161</v>
      </c>
      <c r="L2" t="s">
        <v>162</v>
      </c>
      <c r="M2" t="s">
        <v>163</v>
      </c>
      <c r="N2" t="s">
        <v>164</v>
      </c>
      <c r="O2" t="s">
        <v>82</v>
      </c>
      <c r="P2" t="s">
        <v>165</v>
      </c>
      <c r="Q2" t="s">
        <v>166</v>
      </c>
      <c r="R2" t="s">
        <v>167</v>
      </c>
      <c r="S2" t="s">
        <v>97</v>
      </c>
      <c r="T2" t="s">
        <v>168</v>
      </c>
      <c r="U2" t="s">
        <v>169</v>
      </c>
      <c r="V2" t="s">
        <v>170</v>
      </c>
      <c r="W2" t="s">
        <v>84</v>
      </c>
      <c r="X2" t="s">
        <v>126</v>
      </c>
      <c r="Y2" t="s">
        <v>127</v>
      </c>
      <c r="Z2" t="s">
        <v>151</v>
      </c>
      <c r="AA2" t="s">
        <v>171</v>
      </c>
      <c r="AB2" t="s">
        <v>172</v>
      </c>
      <c r="AC2" t="s">
        <v>173</v>
      </c>
      <c r="AD2" t="s">
        <v>174</v>
      </c>
      <c r="AE2" t="s">
        <v>88</v>
      </c>
      <c r="AF2" t="s">
        <v>175</v>
      </c>
      <c r="AG2" t="s">
        <v>108</v>
      </c>
      <c r="AH2" t="s">
        <v>176</v>
      </c>
      <c r="AI2" t="s">
        <v>88</v>
      </c>
    </row>
    <row r="3" spans="1:35" x14ac:dyDescent="0.25">
      <c r="A3" t="s">
        <v>177</v>
      </c>
      <c r="B3" t="s">
        <v>178</v>
      </c>
      <c r="C3" t="s">
        <v>179</v>
      </c>
      <c r="D3" t="s">
        <v>180</v>
      </c>
      <c r="E3" t="s">
        <v>181</v>
      </c>
      <c r="F3" t="s">
        <v>182</v>
      </c>
      <c r="G3" t="s">
        <v>73</v>
      </c>
      <c r="H3" t="s">
        <v>183</v>
      </c>
      <c r="I3" t="s">
        <v>184</v>
      </c>
      <c r="J3" t="s">
        <v>185</v>
      </c>
      <c r="K3" t="s">
        <v>186</v>
      </c>
      <c r="L3" t="s">
        <v>187</v>
      </c>
      <c r="M3" t="s">
        <v>188</v>
      </c>
      <c r="N3" t="s">
        <v>189</v>
      </c>
      <c r="O3" t="s">
        <v>86</v>
      </c>
      <c r="P3" t="s">
        <v>190</v>
      </c>
      <c r="Q3" t="s">
        <v>191</v>
      </c>
      <c r="R3" t="s">
        <v>192</v>
      </c>
      <c r="S3" t="s">
        <v>79</v>
      </c>
      <c r="T3" t="s">
        <v>193</v>
      </c>
      <c r="U3" t="s">
        <v>194</v>
      </c>
      <c r="V3" t="s">
        <v>195</v>
      </c>
      <c r="W3" t="s">
        <v>41</v>
      </c>
      <c r="X3" t="s">
        <v>117</v>
      </c>
      <c r="Y3" t="s">
        <v>118</v>
      </c>
      <c r="Z3" t="s">
        <v>150</v>
      </c>
      <c r="AA3" t="s">
        <v>196</v>
      </c>
      <c r="AB3" t="s">
        <v>197</v>
      </c>
      <c r="AC3" t="s">
        <v>198</v>
      </c>
      <c r="AD3" t="s">
        <v>199</v>
      </c>
      <c r="AE3" t="s">
        <v>88</v>
      </c>
      <c r="AF3" t="s">
        <v>200</v>
      </c>
      <c r="AG3" t="s">
        <v>108</v>
      </c>
      <c r="AH3" t="s">
        <v>201</v>
      </c>
      <c r="AI3" t="s">
        <v>88</v>
      </c>
    </row>
    <row r="4" spans="1:35" x14ac:dyDescent="0.25">
      <c r="A4" t="s">
        <v>202</v>
      </c>
      <c r="B4" t="s">
        <v>147</v>
      </c>
      <c r="C4" t="s">
        <v>203</v>
      </c>
      <c r="D4" t="s">
        <v>204</v>
      </c>
      <c r="E4" t="s">
        <v>205</v>
      </c>
      <c r="F4" t="s">
        <v>206</v>
      </c>
      <c r="G4" t="s">
        <v>73</v>
      </c>
      <c r="H4" t="s">
        <v>207</v>
      </c>
      <c r="I4" t="s">
        <v>208</v>
      </c>
      <c r="J4" t="s">
        <v>209</v>
      </c>
      <c r="K4" t="s">
        <v>210</v>
      </c>
      <c r="L4" t="s">
        <v>211</v>
      </c>
      <c r="M4" t="s">
        <v>212</v>
      </c>
      <c r="N4" t="s">
        <v>213</v>
      </c>
      <c r="O4" t="s">
        <v>128</v>
      </c>
      <c r="P4" t="s">
        <v>214</v>
      </c>
      <c r="Q4" t="s">
        <v>215</v>
      </c>
      <c r="R4" t="s">
        <v>216</v>
      </c>
      <c r="S4" t="s">
        <v>89</v>
      </c>
      <c r="T4" t="s">
        <v>217</v>
      </c>
      <c r="U4" t="s">
        <v>218</v>
      </c>
      <c r="V4" t="s">
        <v>219</v>
      </c>
      <c r="W4" t="s">
        <v>91</v>
      </c>
      <c r="X4" t="s">
        <v>100</v>
      </c>
      <c r="Y4" t="s">
        <v>101</v>
      </c>
      <c r="Z4" t="s">
        <v>220</v>
      </c>
      <c r="AA4" t="s">
        <v>221</v>
      </c>
      <c r="AB4" t="s">
        <v>222</v>
      </c>
      <c r="AC4" t="s">
        <v>223</v>
      </c>
      <c r="AD4" t="s">
        <v>224</v>
      </c>
      <c r="AE4" t="s">
        <v>88</v>
      </c>
      <c r="AF4" t="s">
        <v>225</v>
      </c>
      <c r="AG4" t="s">
        <v>108</v>
      </c>
      <c r="AH4" t="s">
        <v>226</v>
      </c>
      <c r="AI4" t="s">
        <v>88</v>
      </c>
    </row>
    <row r="5" spans="1:35" x14ac:dyDescent="0.25">
      <c r="A5" t="s">
        <v>227</v>
      </c>
      <c r="B5" t="s">
        <v>228</v>
      </c>
      <c r="C5" t="s">
        <v>229</v>
      </c>
      <c r="D5" t="s">
        <v>230</v>
      </c>
      <c r="E5" t="s">
        <v>231</v>
      </c>
      <c r="F5" t="s">
        <v>232</v>
      </c>
      <c r="G5" t="s">
        <v>73</v>
      </c>
      <c r="H5" t="s">
        <v>233</v>
      </c>
      <c r="I5" t="s">
        <v>234</v>
      </c>
      <c r="J5" t="s">
        <v>235</v>
      </c>
      <c r="K5" t="s">
        <v>236</v>
      </c>
      <c r="L5" t="s">
        <v>237</v>
      </c>
      <c r="M5" t="s">
        <v>238</v>
      </c>
      <c r="N5" t="s">
        <v>239</v>
      </c>
      <c r="O5" t="s">
        <v>99</v>
      </c>
      <c r="P5" t="s">
        <v>240</v>
      </c>
      <c r="Q5" t="s">
        <v>98</v>
      </c>
      <c r="R5" t="s">
        <v>241</v>
      </c>
      <c r="S5" t="s">
        <v>92</v>
      </c>
      <c r="T5" t="s">
        <v>142</v>
      </c>
      <c r="U5" t="s">
        <v>242</v>
      </c>
      <c r="V5" t="s">
        <v>243</v>
      </c>
      <c r="W5" t="s">
        <v>135</v>
      </c>
      <c r="X5" t="s">
        <v>74</v>
      </c>
      <c r="Y5" t="s">
        <v>75</v>
      </c>
      <c r="Z5" t="s">
        <v>244</v>
      </c>
      <c r="AA5" t="s">
        <v>245</v>
      </c>
      <c r="AB5" t="s">
        <v>246</v>
      </c>
      <c r="AC5" t="s">
        <v>247</v>
      </c>
      <c r="AD5" t="s">
        <v>248</v>
      </c>
      <c r="AE5" t="s">
        <v>88</v>
      </c>
      <c r="AF5" t="s">
        <v>249</v>
      </c>
      <c r="AG5" t="s">
        <v>108</v>
      </c>
      <c r="AH5" t="s">
        <v>250</v>
      </c>
      <c r="AI5" t="s">
        <v>88</v>
      </c>
    </row>
    <row r="6" spans="1:35" x14ac:dyDescent="0.25">
      <c r="A6" t="s">
        <v>251</v>
      </c>
      <c r="B6" t="s">
        <v>252</v>
      </c>
      <c r="C6" t="s">
        <v>253</v>
      </c>
      <c r="D6" t="s">
        <v>254</v>
      </c>
      <c r="E6" t="s">
        <v>255</v>
      </c>
      <c r="F6" t="s">
        <v>256</v>
      </c>
      <c r="G6" t="s">
        <v>73</v>
      </c>
      <c r="H6" t="s">
        <v>257</v>
      </c>
      <c r="I6" t="s">
        <v>258</v>
      </c>
      <c r="J6" t="s">
        <v>259</v>
      </c>
      <c r="K6" t="s">
        <v>260</v>
      </c>
      <c r="L6" t="s">
        <v>261</v>
      </c>
      <c r="M6" t="s">
        <v>262</v>
      </c>
      <c r="N6" t="s">
        <v>263</v>
      </c>
      <c r="O6" t="s">
        <v>141</v>
      </c>
      <c r="P6" t="s">
        <v>264</v>
      </c>
      <c r="Q6" t="s">
        <v>131</v>
      </c>
      <c r="R6" t="s">
        <v>265</v>
      </c>
      <c r="S6" t="s">
        <v>97</v>
      </c>
      <c r="T6" t="s">
        <v>266</v>
      </c>
      <c r="U6" t="s">
        <v>267</v>
      </c>
      <c r="V6" t="s">
        <v>268</v>
      </c>
      <c r="W6" t="s">
        <v>38</v>
      </c>
      <c r="X6" t="s">
        <v>121</v>
      </c>
      <c r="Y6" t="s">
        <v>122</v>
      </c>
      <c r="Z6" t="s">
        <v>269</v>
      </c>
      <c r="AA6" t="s">
        <v>270</v>
      </c>
      <c r="AB6" t="s">
        <v>271</v>
      </c>
      <c r="AC6" t="s">
        <v>272</v>
      </c>
      <c r="AD6" t="s">
        <v>273</v>
      </c>
      <c r="AE6" t="s">
        <v>88</v>
      </c>
      <c r="AF6" t="s">
        <v>274</v>
      </c>
      <c r="AG6" t="s">
        <v>108</v>
      </c>
      <c r="AH6" t="s">
        <v>275</v>
      </c>
      <c r="AI6" t="s">
        <v>88</v>
      </c>
    </row>
    <row r="7" spans="1:35" x14ac:dyDescent="0.25">
      <c r="A7" t="s">
        <v>276</v>
      </c>
      <c r="B7" t="s">
        <v>277</v>
      </c>
      <c r="C7" t="s">
        <v>278</v>
      </c>
      <c r="D7" t="s">
        <v>279</v>
      </c>
      <c r="E7" t="s">
        <v>280</v>
      </c>
      <c r="F7" t="s">
        <v>281</v>
      </c>
      <c r="G7" t="s">
        <v>73</v>
      </c>
      <c r="H7" t="s">
        <v>282</v>
      </c>
      <c r="I7" t="s">
        <v>283</v>
      </c>
      <c r="J7" t="s">
        <v>284</v>
      </c>
      <c r="K7" t="s">
        <v>285</v>
      </c>
      <c r="L7" t="s">
        <v>286</v>
      </c>
      <c r="M7" t="s">
        <v>287</v>
      </c>
      <c r="N7" t="s">
        <v>288</v>
      </c>
      <c r="O7" t="s">
        <v>115</v>
      </c>
      <c r="P7" t="s">
        <v>289</v>
      </c>
      <c r="Q7" t="s">
        <v>290</v>
      </c>
      <c r="R7" t="s">
        <v>291</v>
      </c>
      <c r="S7" t="s">
        <v>85</v>
      </c>
      <c r="T7" t="s">
        <v>125</v>
      </c>
      <c r="U7" t="s">
        <v>292</v>
      </c>
      <c r="V7" t="s">
        <v>293</v>
      </c>
      <c r="W7" t="s">
        <v>39</v>
      </c>
      <c r="X7" t="s">
        <v>77</v>
      </c>
      <c r="Y7" t="s">
        <v>78</v>
      </c>
      <c r="Z7" t="s">
        <v>294</v>
      </c>
      <c r="AA7" t="s">
        <v>295</v>
      </c>
      <c r="AB7" t="s">
        <v>296</v>
      </c>
      <c r="AC7" t="s">
        <v>297</v>
      </c>
      <c r="AD7" t="s">
        <v>298</v>
      </c>
      <c r="AE7" t="s">
        <v>88</v>
      </c>
      <c r="AF7" t="s">
        <v>299</v>
      </c>
      <c r="AG7" t="s">
        <v>108</v>
      </c>
      <c r="AH7" t="s">
        <v>300</v>
      </c>
      <c r="AI7" t="s">
        <v>88</v>
      </c>
    </row>
    <row r="8" spans="1:35" x14ac:dyDescent="0.25">
      <c r="A8" t="s">
        <v>301</v>
      </c>
      <c r="B8" t="s">
        <v>124</v>
      </c>
      <c r="C8" t="s">
        <v>302</v>
      </c>
      <c r="D8" t="s">
        <v>303</v>
      </c>
      <c r="E8" t="s">
        <v>304</v>
      </c>
      <c r="F8" t="s">
        <v>305</v>
      </c>
      <c r="G8" t="s">
        <v>73</v>
      </c>
      <c r="H8" t="s">
        <v>306</v>
      </c>
      <c r="I8" t="s">
        <v>307</v>
      </c>
      <c r="J8" t="s">
        <v>308</v>
      </c>
      <c r="K8" t="s">
        <v>309</v>
      </c>
      <c r="L8" t="s">
        <v>310</v>
      </c>
      <c r="M8" t="s">
        <v>311</v>
      </c>
      <c r="N8" t="s">
        <v>312</v>
      </c>
      <c r="O8" t="s">
        <v>143</v>
      </c>
      <c r="P8" t="s">
        <v>313</v>
      </c>
      <c r="Q8" t="s">
        <v>102</v>
      </c>
      <c r="R8" t="s">
        <v>314</v>
      </c>
      <c r="S8" t="s">
        <v>83</v>
      </c>
      <c r="T8" t="s">
        <v>315</v>
      </c>
      <c r="U8" t="s">
        <v>316</v>
      </c>
      <c r="V8" t="s">
        <v>317</v>
      </c>
      <c r="W8" t="s">
        <v>40</v>
      </c>
      <c r="X8" t="s">
        <v>80</v>
      </c>
      <c r="Y8" t="s">
        <v>81</v>
      </c>
      <c r="Z8" t="s">
        <v>144</v>
      </c>
      <c r="AA8" t="s">
        <v>318</v>
      </c>
      <c r="AB8" t="s">
        <v>319</v>
      </c>
      <c r="AC8" t="s">
        <v>320</v>
      </c>
      <c r="AD8" t="s">
        <v>321</v>
      </c>
      <c r="AE8" t="s">
        <v>88</v>
      </c>
      <c r="AF8" t="s">
        <v>322</v>
      </c>
      <c r="AG8" t="s">
        <v>108</v>
      </c>
      <c r="AH8" t="s">
        <v>323</v>
      </c>
      <c r="AI8" t="s">
        <v>88</v>
      </c>
    </row>
    <row r="9" spans="1:35" x14ac:dyDescent="0.25">
      <c r="A9" t="s">
        <v>324</v>
      </c>
      <c r="B9" t="s">
        <v>325</v>
      </c>
      <c r="C9" t="s">
        <v>326</v>
      </c>
      <c r="D9" t="s">
        <v>327</v>
      </c>
      <c r="E9" t="s">
        <v>328</v>
      </c>
      <c r="F9" t="s">
        <v>329</v>
      </c>
      <c r="G9" t="s">
        <v>73</v>
      </c>
      <c r="H9" t="s">
        <v>330</v>
      </c>
      <c r="I9" t="s">
        <v>331</v>
      </c>
      <c r="J9" t="s">
        <v>332</v>
      </c>
      <c r="K9" t="s">
        <v>333</v>
      </c>
      <c r="L9" t="s">
        <v>334</v>
      </c>
      <c r="M9" t="s">
        <v>335</v>
      </c>
      <c r="N9" t="s">
        <v>336</v>
      </c>
      <c r="O9" t="s">
        <v>140</v>
      </c>
      <c r="P9" t="s">
        <v>337</v>
      </c>
      <c r="Q9" t="s">
        <v>149</v>
      </c>
      <c r="R9" t="s">
        <v>338</v>
      </c>
      <c r="S9" t="s">
        <v>113</v>
      </c>
      <c r="T9" t="s">
        <v>339</v>
      </c>
      <c r="U9" t="s">
        <v>340</v>
      </c>
      <c r="V9" t="s">
        <v>341</v>
      </c>
      <c r="W9" t="s">
        <v>45</v>
      </c>
      <c r="X9" t="s">
        <v>119</v>
      </c>
      <c r="Y9" t="s">
        <v>120</v>
      </c>
      <c r="Z9" t="s">
        <v>342</v>
      </c>
      <c r="AA9" t="s">
        <v>343</v>
      </c>
      <c r="AB9" t="s">
        <v>344</v>
      </c>
      <c r="AC9" t="s">
        <v>345</v>
      </c>
      <c r="AD9" t="s">
        <v>346</v>
      </c>
      <c r="AE9" t="s">
        <v>88</v>
      </c>
      <c r="AF9" t="s">
        <v>347</v>
      </c>
      <c r="AG9" t="s">
        <v>108</v>
      </c>
      <c r="AH9" t="s">
        <v>348</v>
      </c>
      <c r="AI9" t="s">
        <v>88</v>
      </c>
    </row>
    <row r="10" spans="1:35" x14ac:dyDescent="0.25">
      <c r="A10" t="s">
        <v>349</v>
      </c>
      <c r="B10" t="s">
        <v>134</v>
      </c>
      <c r="C10" t="s">
        <v>350</v>
      </c>
      <c r="D10" t="s">
        <v>351</v>
      </c>
      <c r="E10" t="s">
        <v>352</v>
      </c>
      <c r="F10" t="s">
        <v>353</v>
      </c>
      <c r="G10" t="s">
        <v>73</v>
      </c>
      <c r="H10" t="s">
        <v>354</v>
      </c>
      <c r="I10" t="s">
        <v>355</v>
      </c>
      <c r="J10" t="s">
        <v>356</v>
      </c>
      <c r="K10" t="s">
        <v>357</v>
      </c>
      <c r="L10" t="s">
        <v>358</v>
      </c>
      <c r="M10" t="s">
        <v>152</v>
      </c>
      <c r="N10" t="s">
        <v>359</v>
      </c>
      <c r="O10" t="s">
        <v>114</v>
      </c>
      <c r="P10" t="s">
        <v>360</v>
      </c>
      <c r="Q10" t="s">
        <v>138</v>
      </c>
      <c r="R10" t="s">
        <v>361</v>
      </c>
      <c r="S10" t="s">
        <v>76</v>
      </c>
      <c r="T10" t="s">
        <v>362</v>
      </c>
      <c r="U10" t="s">
        <v>363</v>
      </c>
      <c r="V10" t="s">
        <v>364</v>
      </c>
      <c r="W10" t="s">
        <v>44</v>
      </c>
      <c r="X10" t="s">
        <v>93</v>
      </c>
      <c r="Y10" t="s">
        <v>94</v>
      </c>
      <c r="Z10" t="s">
        <v>365</v>
      </c>
      <c r="AA10" t="s">
        <v>366</v>
      </c>
      <c r="AB10" t="s">
        <v>367</v>
      </c>
      <c r="AC10" t="s">
        <v>368</v>
      </c>
      <c r="AD10" t="s">
        <v>369</v>
      </c>
      <c r="AE10" t="s">
        <v>88</v>
      </c>
      <c r="AF10" t="s">
        <v>370</v>
      </c>
      <c r="AG10" t="s">
        <v>108</v>
      </c>
      <c r="AH10" t="s">
        <v>371</v>
      </c>
      <c r="AI10" t="s">
        <v>88</v>
      </c>
    </row>
    <row r="11" spans="1:35" x14ac:dyDescent="0.25">
      <c r="A11" t="s">
        <v>372</v>
      </c>
      <c r="B11" t="s">
        <v>373</v>
      </c>
      <c r="C11" t="s">
        <v>374</v>
      </c>
      <c r="D11" t="s">
        <v>375</v>
      </c>
      <c r="E11" t="s">
        <v>376</v>
      </c>
      <c r="F11" t="s">
        <v>377</v>
      </c>
      <c r="G11" t="s">
        <v>73</v>
      </c>
      <c r="H11" t="s">
        <v>378</v>
      </c>
      <c r="I11" t="s">
        <v>379</v>
      </c>
      <c r="J11" t="s">
        <v>380</v>
      </c>
      <c r="K11" t="s">
        <v>381</v>
      </c>
      <c r="L11" t="s">
        <v>382</v>
      </c>
      <c r="M11" t="s">
        <v>383</v>
      </c>
      <c r="N11" t="s">
        <v>384</v>
      </c>
      <c r="O11" t="s">
        <v>90</v>
      </c>
      <c r="P11" t="s">
        <v>385</v>
      </c>
      <c r="Q11" t="s">
        <v>386</v>
      </c>
      <c r="R11" t="s">
        <v>387</v>
      </c>
      <c r="S11" t="s">
        <v>146</v>
      </c>
      <c r="T11" t="s">
        <v>388</v>
      </c>
      <c r="U11" t="s">
        <v>389</v>
      </c>
      <c r="V11" t="s">
        <v>390</v>
      </c>
      <c r="W11" t="s">
        <v>139</v>
      </c>
      <c r="X11" t="s">
        <v>129</v>
      </c>
      <c r="Y11" t="s">
        <v>130</v>
      </c>
      <c r="Z11" t="s">
        <v>103</v>
      </c>
      <c r="AA11" t="s">
        <v>391</v>
      </c>
      <c r="AB11" t="s">
        <v>392</v>
      </c>
      <c r="AC11" t="s">
        <v>393</v>
      </c>
      <c r="AD11" t="s">
        <v>394</v>
      </c>
      <c r="AE11" t="s">
        <v>88</v>
      </c>
      <c r="AF11" t="s">
        <v>395</v>
      </c>
      <c r="AG11" t="s">
        <v>108</v>
      </c>
      <c r="AH11" t="s">
        <v>396</v>
      </c>
      <c r="AI11" t="s">
        <v>88</v>
      </c>
    </row>
    <row r="12" spans="1:35" x14ac:dyDescent="0.25">
      <c r="A12" t="s">
        <v>397</v>
      </c>
      <c r="B12" t="s">
        <v>133</v>
      </c>
      <c r="C12" t="s">
        <v>398</v>
      </c>
      <c r="D12" t="s">
        <v>399</v>
      </c>
      <c r="E12" t="s">
        <v>400</v>
      </c>
      <c r="F12" t="s">
        <v>401</v>
      </c>
      <c r="G12" t="s">
        <v>73</v>
      </c>
      <c r="H12" t="s">
        <v>402</v>
      </c>
      <c r="I12" t="s">
        <v>403</v>
      </c>
      <c r="J12" t="s">
        <v>404</v>
      </c>
      <c r="K12" t="s">
        <v>405</v>
      </c>
      <c r="L12" t="s">
        <v>406</v>
      </c>
      <c r="M12" t="s">
        <v>407</v>
      </c>
      <c r="N12" t="s">
        <v>408</v>
      </c>
      <c r="O12" t="s">
        <v>132</v>
      </c>
      <c r="P12" t="s">
        <v>409</v>
      </c>
      <c r="Q12" t="s">
        <v>112</v>
      </c>
      <c r="R12" t="s">
        <v>410</v>
      </c>
      <c r="S12" t="s">
        <v>87</v>
      </c>
      <c r="T12" t="s">
        <v>411</v>
      </c>
      <c r="U12" t="s">
        <v>412</v>
      </c>
      <c r="V12" t="s">
        <v>413</v>
      </c>
      <c r="W12" t="s">
        <v>43</v>
      </c>
      <c r="X12" t="s">
        <v>136</v>
      </c>
      <c r="Y12" t="s">
        <v>137</v>
      </c>
      <c r="Z12" t="s">
        <v>145</v>
      </c>
      <c r="AA12" t="s">
        <v>414</v>
      </c>
      <c r="AB12" t="s">
        <v>415</v>
      </c>
      <c r="AC12" t="s">
        <v>416</v>
      </c>
      <c r="AD12" t="s">
        <v>417</v>
      </c>
      <c r="AE12" t="s">
        <v>88</v>
      </c>
      <c r="AF12" t="s">
        <v>418</v>
      </c>
      <c r="AG12" t="s">
        <v>108</v>
      </c>
      <c r="AH12" t="s">
        <v>419</v>
      </c>
      <c r="AI12" t="s">
        <v>88</v>
      </c>
    </row>
    <row r="13" spans="1:35" x14ac:dyDescent="0.25">
      <c r="A13" t="s">
        <v>420</v>
      </c>
      <c r="B13" t="s">
        <v>421</v>
      </c>
      <c r="C13" t="s">
        <v>422</v>
      </c>
      <c r="D13" t="s">
        <v>423</v>
      </c>
      <c r="E13" t="s">
        <v>424</v>
      </c>
      <c r="F13" t="s">
        <v>425</v>
      </c>
      <c r="G13" t="s">
        <v>73</v>
      </c>
      <c r="H13" t="s">
        <v>426</v>
      </c>
      <c r="I13" t="s">
        <v>427</v>
      </c>
      <c r="J13" t="s">
        <v>428</v>
      </c>
      <c r="K13" t="s">
        <v>429</v>
      </c>
      <c r="L13" t="s">
        <v>430</v>
      </c>
      <c r="M13" t="s">
        <v>431</v>
      </c>
      <c r="N13" t="s">
        <v>432</v>
      </c>
      <c r="O13" t="s">
        <v>116</v>
      </c>
      <c r="P13" t="s">
        <v>433</v>
      </c>
      <c r="Q13" t="s">
        <v>434</v>
      </c>
      <c r="R13" t="s">
        <v>435</v>
      </c>
      <c r="S13" t="s">
        <v>97</v>
      </c>
      <c r="T13" t="s">
        <v>436</v>
      </c>
      <c r="U13" t="s">
        <v>437</v>
      </c>
      <c r="V13" t="s">
        <v>438</v>
      </c>
      <c r="W13" t="s">
        <v>42</v>
      </c>
      <c r="X13" t="s">
        <v>95</v>
      </c>
      <c r="Y13" t="s">
        <v>96</v>
      </c>
      <c r="Z13" t="s">
        <v>123</v>
      </c>
      <c r="AA13" t="s">
        <v>439</v>
      </c>
      <c r="AB13" t="s">
        <v>440</v>
      </c>
      <c r="AC13" t="s">
        <v>441</v>
      </c>
      <c r="AD13" t="s">
        <v>442</v>
      </c>
      <c r="AE13" t="s">
        <v>88</v>
      </c>
      <c r="AF13" t="s">
        <v>443</v>
      </c>
      <c r="AG13" t="s">
        <v>108</v>
      </c>
      <c r="AH13" t="s">
        <v>444</v>
      </c>
      <c r="AI13" t="s">
        <v>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TBL_CENARIOS</vt:lpstr>
      <vt:lpstr>TBL_CADASTRO</vt:lpstr>
      <vt:lpstr>TBL_MASSA_CADASTRADA</vt:lpstr>
      <vt:lpstr>TBL_CADASTRO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Willian Juliao</dc:creator>
  <cp:lastModifiedBy>Gilvan Sousa</cp:lastModifiedBy>
  <dcterms:created xsi:type="dcterms:W3CDTF">2024-06-13T16:50:06Z</dcterms:created>
  <dcterms:modified xsi:type="dcterms:W3CDTF">2025-12-01T15:52:33Z</dcterms:modified>
</cp:coreProperties>
</file>