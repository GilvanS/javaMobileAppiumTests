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EV\AUTOMACAO\javaMobileAppiumTests\src\test\resources\dados\"/>
    </mc:Choice>
  </mc:AlternateContent>
  <xr:revisionPtr revIDLastSave="0" documentId="13_ncr:1_{A68C8DFF-7E6A-481A-B9BC-7E7520C98BE0}" xr6:coauthVersionLast="47" xr6:coauthVersionMax="47" xr10:uidLastSave="{00000000-0000-0000-0000-000000000000}"/>
  <bookViews>
    <workbookView xWindow="25035" yWindow="45" windowWidth="16050" windowHeight="10905" xr2:uid="{BE8CC490-7143-461B-A081-5E1B4D404489}"/>
  </bookViews>
  <sheets>
    <sheet name="USUARIO" sheetId="1" r:id="rId1"/>
    <sheet name="USUARIO_SECUNDARI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1" l="1"/>
  <c r="L4" i="1"/>
  <c r="L9" i="1"/>
  <c r="L8" i="1"/>
  <c r="H8" i="1" s="1"/>
  <c r="L7" i="1"/>
  <c r="H7" i="1" s="1"/>
  <c r="M7" i="1"/>
  <c r="I7" i="1" s="1"/>
  <c r="M8" i="1"/>
  <c r="I8" i="1" s="1"/>
  <c r="H9" i="1"/>
  <c r="M9" i="1"/>
  <c r="I9" i="1" s="1"/>
  <c r="L10" i="1"/>
  <c r="H10" i="1" s="1"/>
  <c r="M10" i="1"/>
  <c r="I10" i="1" s="1"/>
  <c r="L11" i="1"/>
  <c r="H11" i="1" s="1"/>
  <c r="M11" i="1"/>
  <c r="I11" i="1" s="1"/>
  <c r="M5" i="1"/>
  <c r="I5" i="1" s="1"/>
  <c r="M4" i="1"/>
  <c r="I4" i="1" s="1"/>
  <c r="M3" i="1"/>
  <c r="I3" i="1" s="1"/>
  <c r="H5" i="1"/>
  <c r="H4" i="1"/>
  <c r="L6" i="1"/>
  <c r="H6" i="1" s="1"/>
  <c r="M6" i="1"/>
  <c r="I6" i="1" s="1"/>
  <c r="L3" i="1"/>
  <c r="H3" i="1" s="1"/>
</calcChain>
</file>

<file path=xl/sharedStrings.xml><?xml version="1.0" encoding="utf-8"?>
<sst xmlns="http://schemas.openxmlformats.org/spreadsheetml/2006/main" count="44" uniqueCount="36">
  <si>
    <t>TAG</t>
  </si>
  <si>
    <t>FEATURE</t>
  </si>
  <si>
    <t>CENARIO</t>
  </si>
  <si>
    <t>CPF</t>
  </si>
  <si>
    <t>SENHA</t>
  </si>
  <si>
    <t>CT-1001</t>
  </si>
  <si>
    <t>Login</t>
  </si>
  <si>
    <t>CT-1002</t>
  </si>
  <si>
    <t>123456</t>
  </si>
  <si>
    <t>PID</t>
  </si>
  <si>
    <t>2541</t>
  </si>
  <si>
    <t>VALOR</t>
  </si>
  <si>
    <t>5000</t>
  </si>
  <si>
    <t>77589316857</t>
  </si>
  <si>
    <t>CT-1005</t>
  </si>
  <si>
    <t>CT-1006</t>
  </si>
  <si>
    <t>Validar tentar logar com CPF com Reject</t>
  </si>
  <si>
    <t>Validar Login</t>
  </si>
  <si>
    <t>EMAIL</t>
  </si>
  <si>
    <t>CIDADE ORIGEM</t>
  </si>
  <si>
    <t>CIDADE DESTINO</t>
  </si>
  <si>
    <t>DATA INICIO</t>
  </si>
  <si>
    <t>DATA FIM</t>
  </si>
  <si>
    <t>teste15.4win@gmail.com</t>
  </si>
  <si>
    <t>Teste15@4win</t>
  </si>
  <si>
    <t>Validar pesquisar viagem</t>
  </si>
  <si>
    <t>São Paulo</t>
  </si>
  <si>
    <t>Foz de Iguaçu</t>
  </si>
  <si>
    <t>HOTEL SELECIONADO</t>
  </si>
  <si>
    <t xml:space="preserve">Arcelona Hotel </t>
  </si>
  <si>
    <t>Validar Hospedagens</t>
  </si>
  <si>
    <t>Barcelona</t>
  </si>
  <si>
    <t>CT-1007</t>
  </si>
  <si>
    <t>CT-1008</t>
  </si>
  <si>
    <t>Validar Aluguel de carros</t>
  </si>
  <si>
    <t>Beto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</si>
</sst>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49" fontId="0" fillId="0" borderId="0" xfId="0" quotePrefix="1" applyNumberFormat="1" applyAlignment="1">
      <alignment horizontal="center" vertical="center"/>
    </xf>
    <xf numFmtId="0" fontId="0" fillId="0" borderId="0" xfId="0" quotePrefix="1" applyAlignment="1">
      <alignment horizontal="left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left"/>
    </xf>
    <xf numFmtId="49" fontId="0" fillId="0" borderId="0" xfId="0" quotePrefix="1" applyNumberFormat="1" applyAlignment="1">
      <alignment horizontal="left"/>
    </xf>
    <xf numFmtId="49" fontId="3" fillId="0" borderId="0" xfId="1" quotePrefix="1" applyNumberFormat="1" applyAlignment="1">
      <alignment horizontal="center" vertical="center"/>
    </xf>
    <xf numFmtId="14" fontId="0" fillId="0" borderId="0" xfId="0" applyNumberFormat="1"/>
    <xf numFmtId="49" fontId="4" fillId="0" borderId="0" xfId="1" quotePrefix="1" applyNumberFormat="1" applyFont="1" applyAlignment="1">
      <alignment horizontal="left" vertic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Teste15@4win" TargetMode="External"/><Relationship Id="rId1" Type="http://schemas.openxmlformats.org/officeDocument/2006/relationships/hyperlink" Target="mailto:teste15.4w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74B6D-8FA4-4011-9C72-01FBA93CFAED}">
  <dimension ref="A1:M12"/>
  <sheetViews>
    <sheetView tabSelected="1" topLeftCell="D1" zoomScaleNormal="100" workbookViewId="0">
      <selection activeCell="L6" sqref="L6"/>
    </sheetView>
  </sheetViews>
  <sheetFormatPr defaultRowHeight="15" x14ac:dyDescent="0.25"/>
  <cols>
    <col min="1" max="1" width="8" style="2" bestFit="1" customWidth="1"/>
    <col min="2" max="2" width="10.5703125" style="2" customWidth="1"/>
    <col min="3" max="3" width="23.28515625" style="2" customWidth="1"/>
    <col min="4" max="4" width="23.42578125" style="8" bestFit="1" customWidth="1"/>
    <col min="5" max="5" width="13.5703125" style="1" bestFit="1" customWidth="1"/>
    <col min="6" max="6" width="15" style="8" bestFit="1" customWidth="1"/>
    <col min="7" max="7" width="15.7109375" style="8" bestFit="1" customWidth="1"/>
    <col min="8" max="8" width="11.7109375" style="1" bestFit="1" customWidth="1"/>
    <col min="9" max="9" width="10.42578125" style="1" bestFit="1" customWidth="1"/>
    <col min="10" max="10" width="19.28515625" style="2" customWidth="1"/>
    <col min="11" max="11" width="4.7109375" customWidth="1"/>
    <col min="12" max="13" width="10.42578125" bestFit="1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7" t="s">
        <v>18</v>
      </c>
      <c r="E1" s="4" t="s">
        <v>4</v>
      </c>
      <c r="F1" s="8" t="s">
        <v>19</v>
      </c>
      <c r="G1" s="8" t="s">
        <v>20</v>
      </c>
      <c r="H1" s="4" t="s">
        <v>21</v>
      </c>
      <c r="I1" s="4" t="s">
        <v>22</v>
      </c>
      <c r="J1" s="2" t="s">
        <v>28</v>
      </c>
    </row>
    <row r="2" spans="1:13" x14ac:dyDescent="0.25">
      <c r="A2" s="2" t="s">
        <v>5</v>
      </c>
      <c r="B2" s="2" t="s">
        <v>6</v>
      </c>
      <c r="C2" s="6" t="s">
        <v>17</v>
      </c>
      <c r="D2" s="10" t="s">
        <v>23</v>
      </c>
      <c r="E2" s="10" t="s">
        <v>24</v>
      </c>
      <c r="F2" s="12"/>
      <c r="G2" s="12"/>
    </row>
    <row r="3" spans="1:13" x14ac:dyDescent="0.25">
      <c r="A3" s="2" t="s">
        <v>7</v>
      </c>
      <c r="B3" s="2" t="s">
        <v>6</v>
      </c>
      <c r="C3" s="2" t="s">
        <v>25</v>
      </c>
      <c r="D3" s="5"/>
      <c r="E3" s="5"/>
      <c r="F3" s="12" t="s">
        <v>26</v>
      </c>
      <c r="G3" s="12" t="s">
        <v>27</v>
      </c>
      <c r="H3" s="1" t="str">
        <f t="shared" ref="H3:H11" ca="1" si="0">DAY(L3) &amp; ""</f>
        <v>30</v>
      </c>
      <c r="I3" s="1" t="str">
        <f t="shared" ref="I3:I11" ca="1" si="1">DAY(M3) &amp; ""</f>
        <v>16</v>
      </c>
      <c r="J3" s="2" t="s">
        <v>29</v>
      </c>
      <c r="L3" s="11">
        <f ca="1">TODAY()+5</f>
        <v>45838</v>
      </c>
      <c r="M3" s="11">
        <f ca="1">TODAY()+21</f>
        <v>45854</v>
      </c>
    </row>
    <row r="4" spans="1:13" x14ac:dyDescent="0.25">
      <c r="A4" s="2" t="s">
        <v>14</v>
      </c>
      <c r="B4" s="2" t="s">
        <v>6</v>
      </c>
      <c r="C4" s="6" t="s">
        <v>30</v>
      </c>
      <c r="D4" s="5"/>
      <c r="E4" s="5"/>
      <c r="F4" s="12" t="s">
        <v>31</v>
      </c>
      <c r="G4" s="12"/>
      <c r="H4" s="1" t="str">
        <f t="shared" ca="1" si="0"/>
        <v>30</v>
      </c>
      <c r="I4" s="1" t="str">
        <f t="shared" ca="1" si="1"/>
        <v>17</v>
      </c>
      <c r="L4" s="11">
        <f ca="1">TODAY()+5</f>
        <v>45838</v>
      </c>
      <c r="M4" s="11">
        <f ca="1">TODAY()+22</f>
        <v>45855</v>
      </c>
    </row>
    <row r="5" spans="1:13" x14ac:dyDescent="0.25">
      <c r="A5" s="2" t="s">
        <v>32</v>
      </c>
      <c r="B5" s="3"/>
      <c r="C5" s="6" t="s">
        <v>34</v>
      </c>
      <c r="D5" s="5"/>
      <c r="E5" s="5"/>
      <c r="F5" s="12" t="s">
        <v>26</v>
      </c>
      <c r="G5" s="12"/>
      <c r="H5" s="1" t="str">
        <f t="shared" ca="1" si="0"/>
        <v>29</v>
      </c>
      <c r="I5" s="1" t="str">
        <f t="shared" ca="1" si="1"/>
        <v>18</v>
      </c>
      <c r="L5" s="11">
        <f ca="1">TODAY()+4</f>
        <v>45837</v>
      </c>
      <c r="M5" s="11">
        <f ca="1">TODAY()+23</f>
        <v>45856</v>
      </c>
    </row>
    <row r="6" spans="1:13" x14ac:dyDescent="0.25">
      <c r="A6" s="2" t="s">
        <v>33</v>
      </c>
      <c r="C6" s="6"/>
      <c r="D6" s="5"/>
      <c r="E6" s="5"/>
      <c r="F6" s="12" t="s">
        <v>35</v>
      </c>
      <c r="G6" s="12"/>
      <c r="H6" s="1" t="str">
        <f t="shared" ca="1" si="0"/>
        <v>30</v>
      </c>
      <c r="I6" s="1" t="str">
        <f t="shared" ca="1" si="1"/>
        <v>15</v>
      </c>
      <c r="L6" s="11">
        <f t="shared" ref="L6:L11" ca="1" si="2">TODAY()+5</f>
        <v>45838</v>
      </c>
      <c r="M6" s="11">
        <f t="shared" ref="M6:M10" ca="1" si="3">TODAY()+20</f>
        <v>45853</v>
      </c>
    </row>
    <row r="7" spans="1:13" x14ac:dyDescent="0.25">
      <c r="C7" s="6"/>
      <c r="D7" s="5"/>
      <c r="E7" s="5"/>
      <c r="F7" s="12"/>
      <c r="G7" s="12"/>
      <c r="H7" s="1" t="str">
        <f t="shared" ca="1" si="0"/>
        <v>30</v>
      </c>
      <c r="I7" s="1" t="str">
        <f t="shared" ca="1" si="1"/>
        <v>16</v>
      </c>
      <c r="L7" s="11">
        <f t="shared" ca="1" si="2"/>
        <v>45838</v>
      </c>
      <c r="M7" s="11">
        <f t="shared" ref="M7" ca="1" si="4">TODAY()+21</f>
        <v>45854</v>
      </c>
    </row>
    <row r="8" spans="1:13" x14ac:dyDescent="0.25">
      <c r="C8" s="6"/>
      <c r="D8" s="5"/>
      <c r="E8" s="5"/>
      <c r="F8" s="12"/>
      <c r="G8" s="12"/>
      <c r="H8" s="1" t="str">
        <f t="shared" ca="1" si="0"/>
        <v>29</v>
      </c>
      <c r="I8" s="1" t="str">
        <f t="shared" ca="1" si="1"/>
        <v>17</v>
      </c>
      <c r="L8" s="11">
        <f ca="1">TODAY()+4</f>
        <v>45837</v>
      </c>
      <c r="M8" s="11">
        <f t="shared" ref="M8" ca="1" si="5">TODAY()+22</f>
        <v>45855</v>
      </c>
    </row>
    <row r="9" spans="1:13" x14ac:dyDescent="0.25">
      <c r="C9" s="6"/>
      <c r="D9" s="5"/>
      <c r="E9" s="5"/>
      <c r="F9" s="12"/>
      <c r="G9" s="12"/>
      <c r="H9" s="1" t="str">
        <f t="shared" ca="1" si="0"/>
        <v>29</v>
      </c>
      <c r="I9" s="1" t="str">
        <f t="shared" ca="1" si="1"/>
        <v>18</v>
      </c>
      <c r="L9" s="11">
        <f ca="1">TODAY()+4</f>
        <v>45837</v>
      </c>
      <c r="M9" s="11">
        <f t="shared" ref="M9" ca="1" si="6">TODAY()+23</f>
        <v>45856</v>
      </c>
    </row>
    <row r="10" spans="1:13" x14ac:dyDescent="0.25">
      <c r="C10" s="6"/>
      <c r="D10" s="5"/>
      <c r="E10" s="5"/>
      <c r="F10" s="12"/>
      <c r="G10" s="12"/>
      <c r="H10" s="1" t="str">
        <f t="shared" ca="1" si="0"/>
        <v>30</v>
      </c>
      <c r="I10" s="1" t="str">
        <f t="shared" ca="1" si="1"/>
        <v>15</v>
      </c>
      <c r="L10" s="11">
        <f t="shared" ca="1" si="2"/>
        <v>45838</v>
      </c>
      <c r="M10" s="11">
        <f t="shared" ca="1" si="3"/>
        <v>45853</v>
      </c>
    </row>
    <row r="11" spans="1:13" x14ac:dyDescent="0.25">
      <c r="C11" s="6"/>
      <c r="D11" s="9"/>
      <c r="E11" s="5"/>
      <c r="F11" s="12"/>
      <c r="G11" s="12"/>
      <c r="H11" s="1" t="str">
        <f t="shared" ca="1" si="0"/>
        <v>30</v>
      </c>
      <c r="I11" s="1" t="str">
        <f t="shared" ca="1" si="1"/>
        <v>16</v>
      </c>
      <c r="L11" s="11">
        <f t="shared" ca="1" si="2"/>
        <v>45838</v>
      </c>
      <c r="M11" s="11">
        <f t="shared" ref="M11" ca="1" si="7">TODAY()+21</f>
        <v>45854</v>
      </c>
    </row>
    <row r="12" spans="1:13" x14ac:dyDescent="0.25">
      <c r="F12" s="12"/>
      <c r="G12" s="12"/>
    </row>
  </sheetData>
  <phoneticPr fontId="1" type="noConversion"/>
  <hyperlinks>
    <hyperlink ref="D2" r:id="rId1" xr:uid="{C50C29E9-B45A-48BE-9DC0-38B607D8D8C2}"/>
    <hyperlink ref="E2" r:id="rId2" xr:uid="{A382BB8E-AED9-4AC0-BF5E-45468BD94C08}"/>
  </hyperlinks>
  <pageMargins left="0.511811024" right="0.511811024" top="0.78740157499999996" bottom="0.78740157499999996" header="0.31496062000000002" footer="0.31496062000000002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7F36B-31B9-45A1-B9D4-E7990020F21E}">
  <dimension ref="A1:G2"/>
  <sheetViews>
    <sheetView workbookViewId="0">
      <selection activeCell="C2" sqref="C2"/>
    </sheetView>
  </sheetViews>
  <sheetFormatPr defaultRowHeight="15" x14ac:dyDescent="0.25"/>
  <sheetData>
    <row r="1" spans="1:7" x14ac:dyDescent="0.25">
      <c r="A1" s="2" t="s">
        <v>0</v>
      </c>
      <c r="B1" s="2" t="s">
        <v>1</v>
      </c>
      <c r="C1" s="2" t="s">
        <v>2</v>
      </c>
      <c r="D1" s="4" t="s">
        <v>3</v>
      </c>
      <c r="E1" s="4" t="s">
        <v>4</v>
      </c>
      <c r="F1" s="4" t="s">
        <v>9</v>
      </c>
      <c r="G1" s="4" t="s">
        <v>11</v>
      </c>
    </row>
    <row r="2" spans="1:7" x14ac:dyDescent="0.25">
      <c r="A2" s="2" t="s">
        <v>15</v>
      </c>
      <c r="B2" s="2" t="s">
        <v>6</v>
      </c>
      <c r="C2" s="6" t="s">
        <v>16</v>
      </c>
      <c r="D2" s="5" t="s">
        <v>13</v>
      </c>
      <c r="E2" s="5" t="s">
        <v>8</v>
      </c>
      <c r="F2" s="5" t="s">
        <v>10</v>
      </c>
      <c r="G2" s="5" t="s">
        <v>12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USUARIO</vt:lpstr>
      <vt:lpstr>USUARIO_SECUNDARIO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Willian Juliao</dc:creator>
  <cp:lastModifiedBy>Gilvan Sousa</cp:lastModifiedBy>
  <dcterms:created xsi:type="dcterms:W3CDTF">2024-06-13T16:50:06Z</dcterms:created>
  <dcterms:modified xsi:type="dcterms:W3CDTF">2025-06-25T14:55:52Z</dcterms:modified>
</cp:coreProperties>
</file>