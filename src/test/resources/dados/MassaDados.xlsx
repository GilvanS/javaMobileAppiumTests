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obileAppiumTests\src\test\resources\dados\"/>
    </mc:Choice>
  </mc:AlternateContent>
  <xr:revisionPtr revIDLastSave="0" documentId="13_ncr:1_{A3F901B8-3C4F-49BA-A746-0D9A74745807}" xr6:coauthVersionLast="47" xr6:coauthVersionMax="47" xr10:uidLastSave="{00000000-0000-0000-0000-000000000000}"/>
  <bookViews>
    <workbookView xWindow="22932" yWindow="-48" windowWidth="23256" windowHeight="12456" tabRatio="547" xr2:uid="{BE8CC490-7143-461B-A081-5E1B4D404489}"/>
  </bookViews>
  <sheets>
    <sheet name="TBL_CENARIOS" sheetId="3" r:id="rId1"/>
    <sheet name="TBL_CADASTRO" sheetId="4" r:id="rId2"/>
    <sheet name="TBL_MASSA_CADASTRADA" sheetId="5" r:id="rId3"/>
  </sheets>
  <definedNames>
    <definedName name="TBL_CADASTRO">Tabela15[]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D9" i="4"/>
  <c r="E9" i="4"/>
  <c r="F9" i="4"/>
  <c r="C10" i="4"/>
  <c r="D10" i="4"/>
  <c r="H11" i="3" s="1"/>
  <c r="E10" i="4"/>
  <c r="F10" i="4"/>
  <c r="E8" i="4"/>
  <c r="H8" i="3"/>
  <c r="H9" i="3"/>
  <c r="H10" i="3"/>
  <c r="G11" i="3"/>
  <c r="F11" i="3"/>
  <c r="E2" i="4"/>
  <c r="E3" i="4"/>
  <c r="E4" i="4"/>
  <c r="E5" i="4"/>
  <c r="E6" i="4"/>
  <c r="E7" i="4"/>
  <c r="F8" i="3" s="1"/>
  <c r="D2" i="4"/>
  <c r="D3" i="4"/>
  <c r="D4" i="4"/>
  <c r="D5" i="4"/>
  <c r="D6" i="4"/>
  <c r="H7" i="3" s="1"/>
  <c r="D7" i="4"/>
  <c r="H2" i="3"/>
  <c r="H3" i="3"/>
  <c r="H4" i="3"/>
  <c r="H5" i="3"/>
  <c r="H6" i="3"/>
  <c r="F10" i="3"/>
  <c r="I8" i="4"/>
  <c r="H8" i="4"/>
  <c r="G8" i="4"/>
  <c r="F8" i="4"/>
  <c r="G9" i="3" s="1"/>
  <c r="F9" i="3"/>
  <c r="D8" i="4"/>
  <c r="C8" i="4"/>
  <c r="I7" i="4"/>
  <c r="H7" i="4"/>
  <c r="G7" i="4"/>
  <c r="F7" i="4"/>
  <c r="G8" i="3" s="1"/>
  <c r="C7" i="4"/>
  <c r="I6" i="4"/>
  <c r="H6" i="4"/>
  <c r="G6" i="4"/>
  <c r="F6" i="4"/>
  <c r="C6" i="4"/>
  <c r="I5" i="4"/>
  <c r="H5" i="4"/>
  <c r="G5" i="4"/>
  <c r="F5" i="4"/>
  <c r="F6" i="3"/>
  <c r="C5" i="4"/>
  <c r="I4" i="4"/>
  <c r="H4" i="4"/>
  <c r="G4" i="4"/>
  <c r="F4" i="4"/>
  <c r="G5" i="3" s="1"/>
  <c r="C4" i="4"/>
  <c r="I3" i="4"/>
  <c r="H3" i="4"/>
  <c r="G3" i="4"/>
  <c r="F3" i="4"/>
  <c r="G4" i="3" s="1"/>
  <c r="F4" i="3"/>
  <c r="C3" i="4"/>
  <c r="I2" i="4"/>
  <c r="H2" i="4"/>
  <c r="G2" i="4"/>
  <c r="F2" i="4"/>
  <c r="G3" i="3" s="1"/>
  <c r="F3" i="3"/>
  <c r="C2" i="4"/>
  <c r="G7" i="3"/>
  <c r="F7" i="3"/>
  <c r="G6" i="3"/>
  <c r="F5" i="3"/>
  <c r="F2" i="3"/>
  <c r="G10" i="3" l="1"/>
  <c r="G2" i="3"/>
</calcChain>
</file>

<file path=xl/sharedStrings.xml><?xml version="1.0" encoding="utf-8"?>
<sst xmlns="http://schemas.openxmlformats.org/spreadsheetml/2006/main" count="165" uniqueCount="125">
  <si>
    <t>FEATURE</t>
  </si>
  <si>
    <t>SENHA</t>
  </si>
  <si>
    <t>SEQ</t>
  </si>
  <si>
    <t>ID_CENARIO</t>
  </si>
  <si>
    <t>NOME</t>
  </si>
  <si>
    <t>ID_USUARIO</t>
  </si>
  <si>
    <t>OBSERVAÇÃO</t>
  </si>
  <si>
    <t>SPRINT</t>
  </si>
  <si>
    <t>Criar um novo usuário CMS com sucesso</t>
  </si>
  <si>
    <t>Tentar criar um usuário com e-mail já existente</t>
  </si>
  <si>
    <t>Tentar criar um usuário com nome de usuário já existente</t>
  </si>
  <si>
    <t>Buscar a lista de usuários CMS com autenticação</t>
  </si>
  <si>
    <t>Busca de usuario por ID</t>
  </si>
  <si>
    <t>Validar alteração de usuário</t>
  </si>
  <si>
    <t>Validar exclusao de usuario</t>
  </si>
  <si>
    <t>usuario</t>
  </si>
  <si>
    <t>NOME_COMPLETO</t>
  </si>
  <si>
    <t>0001</t>
  </si>
  <si>
    <t>0008</t>
  </si>
  <si>
    <t>0002</t>
  </si>
  <si>
    <t>0003</t>
  </si>
  <si>
    <t>0004</t>
  </si>
  <si>
    <t>0005</t>
  </si>
  <si>
    <t>0006</t>
  </si>
  <si>
    <t>0007</t>
  </si>
  <si>
    <t>ID_MASSA</t>
  </si>
  <si>
    <t>Realizar login com sucesso</t>
  </si>
  <si>
    <t>01</t>
  </si>
  <si>
    <t>02</t>
  </si>
  <si>
    <t>03</t>
  </si>
  <si>
    <t>04</t>
  </si>
  <si>
    <t>05</t>
  </si>
  <si>
    <t>06</t>
  </si>
  <si>
    <t>07</t>
  </si>
  <si>
    <t>08</t>
  </si>
  <si>
    <t>NomeCompleto</t>
  </si>
  <si>
    <t>Senha</t>
  </si>
  <si>
    <t>Administrador</t>
  </si>
  <si>
    <t>CPF</t>
  </si>
  <si>
    <t>true</t>
  </si>
  <si>
    <t>ID_CATEGORIA</t>
  </si>
  <si>
    <t>ID_ARTIGO</t>
  </si>
  <si>
    <t>Nome</t>
  </si>
  <si>
    <t>Sobrenome</t>
  </si>
  <si>
    <t>Barrows</t>
  </si>
  <si>
    <t>Nienow</t>
  </si>
  <si>
    <t>Bosco</t>
  </si>
  <si>
    <t>Cronin</t>
  </si>
  <si>
    <t>Zion</t>
  </si>
  <si>
    <t>Rodriguez</t>
  </si>
  <si>
    <t>Zion Rodriguez</t>
  </si>
  <si>
    <t>zion.rodriguez</t>
  </si>
  <si>
    <t>rodriguez.zion@aol.com</t>
  </si>
  <si>
    <t>RodZi34</t>
  </si>
  <si>
    <t>Etha</t>
  </si>
  <si>
    <t>Runte</t>
  </si>
  <si>
    <t>Etha Runte</t>
  </si>
  <si>
    <t>etha.runte</t>
  </si>
  <si>
    <t>runte.etha@gmail.com</t>
  </si>
  <si>
    <t>RunEt69</t>
  </si>
  <si>
    <t>Zoila</t>
  </si>
  <si>
    <t>Zoila Cronin</t>
  </si>
  <si>
    <t>zoila.cronin</t>
  </si>
  <si>
    <t>cronin.zoila@hotmail.com</t>
  </si>
  <si>
    <t>CroZo20</t>
  </si>
  <si>
    <t>Marco</t>
  </si>
  <si>
    <t>Baumbach</t>
  </si>
  <si>
    <t>Marco Baumbach</t>
  </si>
  <si>
    <t>marco.baumbach</t>
  </si>
  <si>
    <t>baumbach.marco@yahoo.com</t>
  </si>
  <si>
    <t>BauMa86</t>
  </si>
  <si>
    <t>Lorna</t>
  </si>
  <si>
    <t>Fadel</t>
  </si>
  <si>
    <t>Lorna Fadel</t>
  </si>
  <si>
    <t>lorna.fadel</t>
  </si>
  <si>
    <t>fadel.lorna@yandex.com</t>
  </si>
  <si>
    <t>FadLo61</t>
  </si>
  <si>
    <t>Camille</t>
  </si>
  <si>
    <t>Reinger</t>
  </si>
  <si>
    <t>Camille Reinger</t>
  </si>
  <si>
    <t>camille.reinger</t>
  </si>
  <si>
    <t>reinger.camille@me.com</t>
  </si>
  <si>
    <t>ReiCa78</t>
  </si>
  <si>
    <t>Alene</t>
  </si>
  <si>
    <t>Alene Barrows</t>
  </si>
  <si>
    <t>Ashleigh</t>
  </si>
  <si>
    <t>Balistreri</t>
  </si>
  <si>
    <t>Ashleigh Balistreri</t>
  </si>
  <si>
    <t>Cindy</t>
  </si>
  <si>
    <t>Cindy Bosco</t>
  </si>
  <si>
    <t>Brayan</t>
  </si>
  <si>
    <t>Gutmann</t>
  </si>
  <si>
    <t>Brayan Gutmann</t>
  </si>
  <si>
    <t>brayan.gutmann</t>
  </si>
  <si>
    <t>gutmann.brayan@icloud.com</t>
  </si>
  <si>
    <t>GutBr45</t>
  </si>
  <si>
    <t>Justine</t>
  </si>
  <si>
    <t>Justine Nienow</t>
  </si>
  <si>
    <t>justine.nienow</t>
  </si>
  <si>
    <t>nienow.justine@icloud.com</t>
  </si>
  <si>
    <t>NieJu88</t>
  </si>
  <si>
    <t>Geovany</t>
  </si>
  <si>
    <t>Oberbrunner</t>
  </si>
  <si>
    <t>Geovany Oberbrunner</t>
  </si>
  <si>
    <t>geovany.oberbrunner</t>
  </si>
  <si>
    <t>oberbrunner.geovany@yandex.com</t>
  </si>
  <si>
    <t>ObeGe02</t>
  </si>
  <si>
    <t>CT-01.1</t>
  </si>
  <si>
    <t>CT-01.2</t>
  </si>
  <si>
    <t>CT-01.3</t>
  </si>
  <si>
    <t>CT-01.4</t>
  </si>
  <si>
    <t>CT-01.5</t>
  </si>
  <si>
    <t>CT-01.6</t>
  </si>
  <si>
    <t>CT-01.7</t>
  </si>
  <si>
    <t>CT-01.8</t>
  </si>
  <si>
    <t>CT-02.1</t>
  </si>
  <si>
    <t>Validar cadastro de chave PIX - Email</t>
  </si>
  <si>
    <t>PIX</t>
  </si>
  <si>
    <t>admin999</t>
  </si>
  <si>
    <t>EMAIL</t>
  </si>
  <si>
    <t>jean@test.com</t>
  </si>
  <si>
    <t>gilvan@test.com</t>
  </si>
  <si>
    <t>CT-02.2</t>
  </si>
  <si>
    <t>09</t>
  </si>
  <si>
    <t>0009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</si>
</sst>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0" borderId="0" xfId="0" applyAlignment="1">
      <alignment horizontal="left" vertical="center"/>
    </xf>
    <xf numFmtId="49" fontId="2" fillId="4" borderId="0" xfId="0" applyNumberFormat="1" applyFont="1" applyFill="1" applyAlignment="1">
      <alignment horizontal="center" vertical="center"/>
    </xf>
    <xf numFmtId="49" fontId="0" fillId="3" borderId="0" xfId="0" applyNumberFormat="1" applyFill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left" vertical="center"/>
    </xf>
  </cellXfs>
  <cellStyles count="1">
    <cellStyle name="Normal" xfId="0" builtinId="0"/>
  </cellStyles>
  <dxfs count="19">
    <dxf>
      <numFmt numFmtId="0" formatCode="General"/>
    </dxf>
    <dxf>
      <alignment horizontal="center" vertical="center" textRotation="0" wrapText="1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6F21A2-18B3-4119-B8E1-51F7C4D22D38}" name="Tabela1" displayName="Tabela1" ref="A1:J11" totalsRowShown="0" headerRowDxfId="18">
  <autoFilter ref="A1:J11" xr:uid="{056F21A2-18B3-4119-B8E1-51F7C4D22D38}"/>
  <sortState xmlns:xlrd2="http://schemas.microsoft.com/office/spreadsheetml/2017/richdata2" ref="A2:J9">
    <sortCondition ref="B1:B9"/>
  </sortState>
  <tableColumns count="10">
    <tableColumn id="1" xr3:uid="{240E8A87-6B9D-469C-96B4-1ADF1A1B51F9}" name="SEQ" dataDxfId="17"/>
    <tableColumn id="2" xr3:uid="{A5A7BB75-84B5-4E70-9BA0-C776DE14C91C}" name="ID_CENARIO" dataDxfId="16"/>
    <tableColumn id="3" xr3:uid="{F8063F50-952C-4E2D-A074-3E8144115D2A}" name="NOME"/>
    <tableColumn id="4" xr3:uid="{8DDE6FAA-E6CF-4246-9642-56091E15680F}" name="FEATURE" dataDxfId="15"/>
    <tableColumn id="5" xr3:uid="{C3B59964-FB20-45D3-83A9-C8E4430D8B4D}" name="ID_MASSA" dataDxfId="14"/>
    <tableColumn id="6" xr3:uid="{BD63E5A8-2387-4287-9027-FC33B730B309}" name="CPF" dataDxfId="13">
      <calculatedColumnFormula>VLOOKUP(Tabela1[[#This Row],[ID_MASSA]],Tabela15[[ID_MASSA]:[SENHA]],4,FALSE)</calculatedColumnFormula>
    </tableColumn>
    <tableColumn id="10" xr3:uid="{BC16A81B-1C0C-4894-BA93-501560053E29}" name="SENHA" dataDxfId="12">
      <calculatedColumnFormula>VLOOKUP(Tabela1[[#This Row],[ID_MASSA]],Tabela15[[ID_MASSA]:[SENHA]],5,FALSE)</calculatedColumnFormula>
    </tableColumn>
    <tableColumn id="7" xr3:uid="{B89F7EB3-E18D-4B11-80BD-03538541B067}" name="EMAIL" dataDxfId="0">
      <calculatedColumnFormula>TBL_CADASTRO!D1</calculatedColumnFormula>
    </tableColumn>
    <tableColumn id="8" xr3:uid="{91B77134-9262-4982-8071-0C4FB038C565}" name="OBSERVAÇÃO"/>
    <tableColumn id="9" xr3:uid="{88B2B33A-A61C-4E21-927A-BA2F7510438A}" name="SPRINT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3113370-7307-4D9F-A005-28D4D96B86FA}" name="Tabela15" displayName="Tabela15" ref="A1:I10" totalsRowShown="0" headerRowDxfId="1" dataDxfId="11">
  <autoFilter ref="A1:I10" xr:uid="{056F21A2-18B3-4119-B8E1-51F7C4D22D38}"/>
  <tableColumns count="9">
    <tableColumn id="1" xr3:uid="{76DED8C3-CAED-4F92-BEFF-1D1672477026}" name="SEQ" dataDxfId="10"/>
    <tableColumn id="2" xr3:uid="{1B34B2D7-6E01-4503-BF80-E6FA0B5264BE}" name="ID_MASSA" dataDxfId="9"/>
    <tableColumn id="3" xr3:uid="{2A87BFE1-F7B7-4CC5-BF83-A1ACA0AA1B71}" name="NOME_COMPLETO" dataDxfId="8"/>
    <tableColumn id="4" xr3:uid="{CEE84FB7-6516-43D3-A087-5E2B5901F371}" name="EMAIL" dataDxfId="7"/>
    <tableColumn id="5" xr3:uid="{A94F6B35-2950-495F-ABAD-80D52A635FCB}" name="CPF" dataDxfId="6"/>
    <tableColumn id="7" xr3:uid="{C45F2582-248A-4FD2-93C4-DC5EE6FD9337}" name="SENHA" dataDxfId="5"/>
    <tableColumn id="6" xr3:uid="{4A91FF1E-8039-4084-81C6-46AC93CD4987}" name="ID_USUARIO" dataDxfId="4"/>
    <tableColumn id="8" xr3:uid="{76915B7C-C8DF-49DC-AE8C-85A8E195B653}" name="ID_CATEGORIA" dataDxfId="3"/>
    <tableColumn id="9" xr3:uid="{7019F3A5-C393-4DF2-A287-B48B03B927F9}" name="ID_ARTIGO" dataDxfId="2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gilvan@test.com" TargetMode="External"/><Relationship Id="rId2" Type="http://schemas.openxmlformats.org/officeDocument/2006/relationships/hyperlink" Target="mailto:gilvan@test.com" TargetMode="External"/><Relationship Id="rId1" Type="http://schemas.openxmlformats.org/officeDocument/2006/relationships/hyperlink" Target="mailto:jean@tes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71858-38D3-4D97-A145-DA082D656605}">
  <dimension ref="A1:J11"/>
  <sheetViews>
    <sheetView tabSelected="1" workbookViewId="0">
      <selection activeCell="G9" sqref="G9"/>
    </sheetView>
  </sheetViews>
  <sheetFormatPr defaultRowHeight="15" x14ac:dyDescent="0.25"/>
  <cols>
    <col min="1" max="1" width="8.42578125" style="1" customWidth="1"/>
    <col min="2" max="2" width="14" style="1" customWidth="1"/>
    <col min="3" max="3" width="55.140625" customWidth="1"/>
    <col min="4" max="4" width="11.28515625" style="1" bestFit="1" customWidth="1"/>
    <col min="5" max="5" width="14" style="4" customWidth="1"/>
    <col min="6" max="6" width="35.140625" style="2" customWidth="1"/>
    <col min="7" max="7" width="21" style="2" customWidth="1"/>
    <col min="8" max="8" width="20.42578125" bestFit="1" customWidth="1"/>
    <col min="9" max="9" width="15.85546875" bestFit="1" customWidth="1"/>
    <col min="10" max="10" width="9.85546875" bestFit="1" customWidth="1"/>
  </cols>
  <sheetData>
    <row r="1" spans="1:10" s="3" customFormat="1" ht="42.75" customHeight="1" x14ac:dyDescent="0.25">
      <c r="A1" s="3" t="s">
        <v>2</v>
      </c>
      <c r="B1" s="3" t="s">
        <v>3</v>
      </c>
      <c r="C1" s="3" t="s">
        <v>4</v>
      </c>
      <c r="D1" s="3" t="s">
        <v>0</v>
      </c>
      <c r="E1" s="4" t="s">
        <v>25</v>
      </c>
      <c r="F1" s="3" t="s">
        <v>38</v>
      </c>
      <c r="G1" s="3" t="s">
        <v>1</v>
      </c>
      <c r="H1" s="3" t="s">
        <v>119</v>
      </c>
      <c r="I1" s="3" t="s">
        <v>6</v>
      </c>
      <c r="J1" s="3" t="s">
        <v>7</v>
      </c>
    </row>
    <row r="2" spans="1:10" x14ac:dyDescent="0.25">
      <c r="A2" s="1">
        <v>1</v>
      </c>
      <c r="B2" s="1" t="s">
        <v>107</v>
      </c>
      <c r="C2" t="s">
        <v>8</v>
      </c>
      <c r="D2" s="1" t="s">
        <v>15</v>
      </c>
      <c r="E2" s="4" t="s">
        <v>17</v>
      </c>
      <c r="F2" s="2" t="str">
        <f>VLOOKUP(Tabela1[[#This Row],[ID_MASSA]],Tabela15[[ID_MASSA]:[SENHA]],4,FALSE)</f>
        <v>rodriguez.zion@aol.com</v>
      </c>
      <c r="G2" s="2" t="str">
        <f>VLOOKUP(Tabela1[[#This Row],[ID_MASSA]],Tabela15[[ID_MASSA]:[SENHA]],5,FALSE)</f>
        <v>RodZi34</v>
      </c>
      <c r="H2" t="str">
        <f>TBL_CADASTRO!D1</f>
        <v>EMAIL</v>
      </c>
    </row>
    <row r="3" spans="1:10" x14ac:dyDescent="0.25">
      <c r="A3" s="1">
        <v>2</v>
      </c>
      <c r="B3" s="1" t="s">
        <v>108</v>
      </c>
      <c r="C3" s="9" t="s">
        <v>26</v>
      </c>
      <c r="D3" s="8" t="s">
        <v>15</v>
      </c>
      <c r="E3" s="4" t="s">
        <v>17</v>
      </c>
      <c r="F3" s="2" t="str">
        <f>VLOOKUP(Tabela1[[#This Row],[ID_MASSA]],Tabela15[[ID_MASSA]:[SENHA]],4,FALSE)</f>
        <v>rodriguez.zion@aol.com</v>
      </c>
      <c r="G3" s="10" t="str">
        <f>VLOOKUP(Tabela1[[#This Row],[ID_MASSA]],Tabela15[[ID_MASSA]:[SENHA]],5,FALSE)</f>
        <v>RodZi34</v>
      </c>
      <c r="H3" s="9" t="str">
        <f>TBL_CADASTRO!D2</f>
        <v>zion.rodriguez</v>
      </c>
      <c r="I3" s="9"/>
      <c r="J3" s="9"/>
    </row>
    <row r="4" spans="1:10" x14ac:dyDescent="0.25">
      <c r="A4" s="1">
        <v>3</v>
      </c>
      <c r="B4" s="1" t="s">
        <v>109</v>
      </c>
      <c r="C4" s="9" t="s">
        <v>11</v>
      </c>
      <c r="D4" s="8" t="s">
        <v>15</v>
      </c>
      <c r="E4" s="4" t="s">
        <v>19</v>
      </c>
      <c r="F4" s="2" t="str">
        <f>VLOOKUP(Tabela1[[#This Row],[ID_MASSA]],Tabela15[[ID_MASSA]:[SENHA]],4,FALSE)</f>
        <v>runte.etha@gmail.com</v>
      </c>
      <c r="G4" s="10" t="str">
        <f>VLOOKUP(Tabela1[[#This Row],[ID_MASSA]],Tabela15[[ID_MASSA]:[SENHA]],5,FALSE)</f>
        <v>RunEt69</v>
      </c>
      <c r="H4" s="9" t="str">
        <f>TBL_CADASTRO!D3</f>
        <v>etha.runte</v>
      </c>
      <c r="I4" s="9"/>
      <c r="J4" s="9"/>
    </row>
    <row r="5" spans="1:10" x14ac:dyDescent="0.25">
      <c r="A5" s="1">
        <v>4</v>
      </c>
      <c r="B5" s="1" t="s">
        <v>110</v>
      </c>
      <c r="C5" s="9" t="s">
        <v>12</v>
      </c>
      <c r="D5" s="8" t="s">
        <v>15</v>
      </c>
      <c r="E5" s="4" t="s">
        <v>20</v>
      </c>
      <c r="F5" s="2" t="str">
        <f>VLOOKUP(Tabela1[[#This Row],[ID_MASSA]],Tabela15[[ID_MASSA]:[SENHA]],4,FALSE)</f>
        <v>cronin.zoila@hotmail.com</v>
      </c>
      <c r="G5" s="10" t="str">
        <f>VLOOKUP(Tabela1[[#This Row],[ID_MASSA]],Tabela15[[ID_MASSA]:[SENHA]],5,FALSE)</f>
        <v>CroZo20</v>
      </c>
      <c r="H5" s="9" t="str">
        <f>TBL_CADASTRO!D4</f>
        <v>zoila.cronin</v>
      </c>
      <c r="I5" s="9"/>
      <c r="J5" s="9"/>
    </row>
    <row r="6" spans="1:10" x14ac:dyDescent="0.25">
      <c r="A6" s="1">
        <v>5</v>
      </c>
      <c r="B6" s="1" t="s">
        <v>111</v>
      </c>
      <c r="C6" s="9" t="s">
        <v>13</v>
      </c>
      <c r="D6" s="8" t="s">
        <v>15</v>
      </c>
      <c r="E6" s="4" t="s">
        <v>21</v>
      </c>
      <c r="F6" s="2" t="str">
        <f>VLOOKUP(Tabela1[[#This Row],[ID_MASSA]],Tabela15[[ID_MASSA]:[SENHA]],4,FALSE)</f>
        <v>baumbach.marco@yahoo.com</v>
      </c>
      <c r="G6" s="10" t="str">
        <f>VLOOKUP(Tabela1[[#This Row],[ID_MASSA]],Tabela15[[ID_MASSA]:[SENHA]],5,FALSE)</f>
        <v>BauMa86</v>
      </c>
      <c r="H6" s="9" t="str">
        <f>TBL_CADASTRO!D5</f>
        <v>marco.baumbach</v>
      </c>
      <c r="I6" s="9"/>
      <c r="J6" s="9"/>
    </row>
    <row r="7" spans="1:10" x14ac:dyDescent="0.25">
      <c r="A7" s="1">
        <v>6</v>
      </c>
      <c r="B7" s="1" t="s">
        <v>112</v>
      </c>
      <c r="C7" s="9" t="s">
        <v>14</v>
      </c>
      <c r="D7" s="8" t="s">
        <v>15</v>
      </c>
      <c r="E7" s="4" t="s">
        <v>22</v>
      </c>
      <c r="F7" s="2" t="str">
        <f>VLOOKUP(Tabela1[[#This Row],[ID_MASSA]],Tabela15[[ID_MASSA]:[SENHA]],4,FALSE)</f>
        <v>fadel.lorna@yandex.com</v>
      </c>
      <c r="G7" s="10" t="str">
        <f>VLOOKUP(Tabela1[[#This Row],[ID_MASSA]],Tabela15[[ID_MASSA]:[SENHA]],5,FALSE)</f>
        <v>FadLo61</v>
      </c>
      <c r="H7" s="9" t="str">
        <f>TBL_CADASTRO!D6</f>
        <v>lorna.fadel</v>
      </c>
      <c r="I7" s="9"/>
      <c r="J7" s="9"/>
    </row>
    <row r="8" spans="1:10" x14ac:dyDescent="0.25">
      <c r="A8" s="1">
        <v>7</v>
      </c>
      <c r="B8" s="1" t="s">
        <v>113</v>
      </c>
      <c r="C8" t="s">
        <v>9</v>
      </c>
      <c r="D8" s="1" t="s">
        <v>15</v>
      </c>
      <c r="E8" s="4" t="s">
        <v>23</v>
      </c>
      <c r="F8" s="2" t="str">
        <f>VLOOKUP(Tabela1[[#This Row],[ID_MASSA]],Tabela15[[ID_MASSA]:[SENHA]],4,FALSE)</f>
        <v>reinger.camille@me.com</v>
      </c>
      <c r="G8" s="2" t="str">
        <f>VLOOKUP(Tabela1[[#This Row],[ID_MASSA]],Tabela15[[ID_MASSA]:[SENHA]],5,FALSE)</f>
        <v>ReiCa78</v>
      </c>
      <c r="H8" s="9" t="str">
        <f>TBL_CADASTRO!D7</f>
        <v>camille.reinger</v>
      </c>
    </row>
    <row r="9" spans="1:10" x14ac:dyDescent="0.25">
      <c r="A9" s="1">
        <v>8</v>
      </c>
      <c r="B9" s="1" t="s">
        <v>114</v>
      </c>
      <c r="C9" t="s">
        <v>10</v>
      </c>
      <c r="D9" s="1" t="s">
        <v>15</v>
      </c>
      <c r="E9" s="4" t="s">
        <v>24</v>
      </c>
      <c r="F9" s="2">
        <f>VLOOKUP(Tabela1[[#This Row],[ID_MASSA]],Tabela15[[ID_MASSA]:[SENHA]],4,FALSE)</f>
        <v>11111111111</v>
      </c>
      <c r="G9" s="2" t="str">
        <f>VLOOKUP(Tabela1[[#This Row],[ID_MASSA]],Tabela15[[ID_MASSA]:[SENHA]],5,FALSE)</f>
        <v>admin999</v>
      </c>
      <c r="H9" s="9" t="str">
        <f>TBL_CADASTRO!D8</f>
        <v>jean@test.com</v>
      </c>
    </row>
    <row r="10" spans="1:10" x14ac:dyDescent="0.25">
      <c r="A10" s="1">
        <v>9</v>
      </c>
      <c r="B10" s="1" t="s">
        <v>115</v>
      </c>
      <c r="C10" t="s">
        <v>116</v>
      </c>
      <c r="D10" s="1" t="s">
        <v>117</v>
      </c>
      <c r="E10" s="4" t="s">
        <v>18</v>
      </c>
      <c r="F10" s="2">
        <f>VLOOKUP(Tabela1[[#This Row],[ID_MASSA]],Tabela15[[ID_MASSA]:[SENHA]],4,FALSE)</f>
        <v>88888888888</v>
      </c>
      <c r="G10" s="2" t="str">
        <f>VLOOKUP(Tabela1[[#This Row],[ID_MASSA]],Tabela15[[ID_MASSA]:[SENHA]],5,FALSE)</f>
        <v>admin999</v>
      </c>
      <c r="H10" s="9" t="str">
        <f>TBL_CADASTRO!D9</f>
        <v>gilvan@test.com</v>
      </c>
    </row>
    <row r="11" spans="1:10" x14ac:dyDescent="0.25">
      <c r="A11" s="1">
        <v>10</v>
      </c>
      <c r="B11" s="1" t="s">
        <v>122</v>
      </c>
      <c r="C11" t="s">
        <v>116</v>
      </c>
      <c r="D11" s="1" t="s">
        <v>117</v>
      </c>
      <c r="E11" s="4" t="s">
        <v>18</v>
      </c>
      <c r="F11" s="14">
        <f>VLOOKUP(Tabela1[[#This Row],[ID_MASSA]],Tabela15[[ID_MASSA]:[SENHA]],4,FALSE)</f>
        <v>88888888888</v>
      </c>
      <c r="G11" s="14" t="str">
        <f>VLOOKUP(Tabela1[[#This Row],[ID_MASSA]],Tabela15[[ID_MASSA]:[SENHA]],5,FALSE)</f>
        <v>admin999</v>
      </c>
      <c r="H11" s="9" t="str">
        <f>TBL_CADASTRO!D10</f>
        <v>gilvan@test.com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4E9FD-68D5-4E43-8196-C7334FA814AB}">
  <dimension ref="A1:I10"/>
  <sheetViews>
    <sheetView workbookViewId="0">
      <selection activeCell="B8" sqref="B8:F10"/>
    </sheetView>
  </sheetViews>
  <sheetFormatPr defaultRowHeight="15" x14ac:dyDescent="0.25"/>
  <cols>
    <col min="1" max="1" width="9.28515625" style="7" bestFit="1" customWidth="1"/>
    <col min="2" max="2" width="14.28515625" style="7" bestFit="1" customWidth="1"/>
    <col min="3" max="3" width="21.28515625" bestFit="1" customWidth="1"/>
    <col min="4" max="4" width="18" style="2" bestFit="1" customWidth="1"/>
    <col min="5" max="5" width="29" style="3" bestFit="1" customWidth="1"/>
    <col min="6" max="6" width="9.7109375" style="11" bestFit="1" customWidth="1"/>
    <col min="7" max="7" width="37.42578125" style="11" bestFit="1" customWidth="1"/>
    <col min="8" max="8" width="37.5703125" style="2" bestFit="1" customWidth="1"/>
    <col min="9" max="9" width="37.5703125" bestFit="1" customWidth="1"/>
    <col min="10" max="10" width="12" customWidth="1"/>
  </cols>
  <sheetData>
    <row r="1" spans="1:9" s="6" customFormat="1" ht="42.75" customHeight="1" x14ac:dyDescent="0.25">
      <c r="A1" s="5" t="s">
        <v>2</v>
      </c>
      <c r="B1" s="5" t="s">
        <v>25</v>
      </c>
      <c r="C1" s="6" t="s">
        <v>16</v>
      </c>
      <c r="D1" s="6" t="s">
        <v>119</v>
      </c>
      <c r="E1" s="6" t="s">
        <v>38</v>
      </c>
      <c r="F1" s="6" t="s">
        <v>1</v>
      </c>
      <c r="G1" s="6" t="s">
        <v>5</v>
      </c>
      <c r="H1" s="6" t="s">
        <v>40</v>
      </c>
      <c r="I1" s="6" t="s">
        <v>41</v>
      </c>
    </row>
    <row r="2" spans="1:9" x14ac:dyDescent="0.25">
      <c r="A2" s="12" t="s">
        <v>27</v>
      </c>
      <c r="B2" s="12" t="s">
        <v>17</v>
      </c>
      <c r="C2" s="2" t="str">
        <f>TBL_MASSA_CADASTRADA!C2</f>
        <v>Zion Rodriguez</v>
      </c>
      <c r="D2" s="2" t="str">
        <f>TBL_MASSA_CADASTRADA!D2</f>
        <v>zion.rodriguez</v>
      </c>
      <c r="E2" s="2" t="str">
        <f>TBL_MASSA_CADASTRADA!E2</f>
        <v>rodriguez.zion@aol.com</v>
      </c>
      <c r="F2" s="2" t="str">
        <f>TBL_MASSA_CADASTRADA!F2</f>
        <v>RodZi34</v>
      </c>
      <c r="G2" s="2" t="e">
        <f>TBL_MASSA_CADASTRADA!#REF!</f>
        <v>#REF!</v>
      </c>
      <c r="H2" s="2" t="e">
        <f>TBL_MASSA_CADASTRADA!#REF!</f>
        <v>#REF!</v>
      </c>
      <c r="I2" s="2" t="e">
        <f>TBL_MASSA_CADASTRADA!#REF!</f>
        <v>#REF!</v>
      </c>
    </row>
    <row r="3" spans="1:9" x14ac:dyDescent="0.25">
      <c r="A3" s="7" t="s">
        <v>28</v>
      </c>
      <c r="B3" s="7" t="s">
        <v>19</v>
      </c>
      <c r="C3" s="2" t="str">
        <f>TBL_MASSA_CADASTRADA!C3</f>
        <v>Etha Runte</v>
      </c>
      <c r="D3" s="2" t="str">
        <f>TBL_MASSA_CADASTRADA!D3</f>
        <v>etha.runte</v>
      </c>
      <c r="E3" s="2" t="str">
        <f>TBL_MASSA_CADASTRADA!E3</f>
        <v>runte.etha@gmail.com</v>
      </c>
      <c r="F3" s="2" t="str">
        <f>TBL_MASSA_CADASTRADA!F3</f>
        <v>RunEt69</v>
      </c>
      <c r="G3" s="2" t="e">
        <f>TBL_MASSA_CADASTRADA!#REF!</f>
        <v>#REF!</v>
      </c>
      <c r="H3" s="2" t="e">
        <f>TBL_MASSA_CADASTRADA!#REF!</f>
        <v>#REF!</v>
      </c>
      <c r="I3" s="2" t="e">
        <f>TBL_MASSA_CADASTRADA!#REF!</f>
        <v>#REF!</v>
      </c>
    </row>
    <row r="4" spans="1:9" x14ac:dyDescent="0.25">
      <c r="A4" s="7" t="s">
        <v>29</v>
      </c>
      <c r="B4" s="7" t="s">
        <v>20</v>
      </c>
      <c r="C4" s="2" t="str">
        <f>TBL_MASSA_CADASTRADA!C4</f>
        <v>Zoila Cronin</v>
      </c>
      <c r="D4" s="2" t="str">
        <f>TBL_MASSA_CADASTRADA!D4</f>
        <v>zoila.cronin</v>
      </c>
      <c r="E4" s="2" t="str">
        <f>TBL_MASSA_CADASTRADA!E4</f>
        <v>cronin.zoila@hotmail.com</v>
      </c>
      <c r="F4" s="2" t="str">
        <f>TBL_MASSA_CADASTRADA!F4</f>
        <v>CroZo20</v>
      </c>
      <c r="G4" s="2" t="e">
        <f>TBL_MASSA_CADASTRADA!#REF!</f>
        <v>#REF!</v>
      </c>
      <c r="H4" s="2" t="e">
        <f>TBL_MASSA_CADASTRADA!#REF!</f>
        <v>#REF!</v>
      </c>
      <c r="I4" s="2" t="e">
        <f>TBL_MASSA_CADASTRADA!#REF!</f>
        <v>#REF!</v>
      </c>
    </row>
    <row r="5" spans="1:9" x14ac:dyDescent="0.25">
      <c r="A5" s="7" t="s">
        <v>30</v>
      </c>
      <c r="B5" s="7" t="s">
        <v>21</v>
      </c>
      <c r="C5" s="2" t="str">
        <f>TBL_MASSA_CADASTRADA!C5</f>
        <v>Marco Baumbach</v>
      </c>
      <c r="D5" s="2" t="str">
        <f>TBL_MASSA_CADASTRADA!D5</f>
        <v>marco.baumbach</v>
      </c>
      <c r="E5" s="2" t="str">
        <f>TBL_MASSA_CADASTRADA!E5</f>
        <v>baumbach.marco@yahoo.com</v>
      </c>
      <c r="F5" s="2" t="str">
        <f>TBL_MASSA_CADASTRADA!F5</f>
        <v>BauMa86</v>
      </c>
      <c r="G5" s="2" t="e">
        <f>TBL_MASSA_CADASTRADA!#REF!</f>
        <v>#REF!</v>
      </c>
      <c r="H5" s="2" t="e">
        <f>TBL_MASSA_CADASTRADA!#REF!</f>
        <v>#REF!</v>
      </c>
      <c r="I5" s="2" t="e">
        <f>TBL_MASSA_CADASTRADA!#REF!</f>
        <v>#REF!</v>
      </c>
    </row>
    <row r="6" spans="1:9" x14ac:dyDescent="0.25">
      <c r="A6" s="13" t="s">
        <v>31</v>
      </c>
      <c r="B6" s="13" t="s">
        <v>22</v>
      </c>
      <c r="C6" s="2" t="str">
        <f>TBL_MASSA_CADASTRADA!C6</f>
        <v>Lorna Fadel</v>
      </c>
      <c r="D6" s="2" t="str">
        <f>TBL_MASSA_CADASTRADA!D6</f>
        <v>lorna.fadel</v>
      </c>
      <c r="E6" s="2" t="str">
        <f>TBL_MASSA_CADASTRADA!E6</f>
        <v>fadel.lorna@yandex.com</v>
      </c>
      <c r="F6" s="2" t="str">
        <f>TBL_MASSA_CADASTRADA!F6</f>
        <v>FadLo61</v>
      </c>
      <c r="G6" s="2" t="e">
        <f>TBL_MASSA_CADASTRADA!#REF!</f>
        <v>#REF!</v>
      </c>
      <c r="H6" s="2" t="e">
        <f>TBL_MASSA_CADASTRADA!#REF!</f>
        <v>#REF!</v>
      </c>
      <c r="I6" s="2" t="e">
        <f>TBL_MASSA_CADASTRADA!#REF!</f>
        <v>#REF!</v>
      </c>
    </row>
    <row r="7" spans="1:9" x14ac:dyDescent="0.25">
      <c r="A7" s="7" t="s">
        <v>32</v>
      </c>
      <c r="B7" s="7" t="s">
        <v>23</v>
      </c>
      <c r="C7" s="2" t="str">
        <f>TBL_MASSA_CADASTRADA!C7</f>
        <v>Camille Reinger</v>
      </c>
      <c r="D7" s="2" t="str">
        <f>TBL_MASSA_CADASTRADA!D7</f>
        <v>camille.reinger</v>
      </c>
      <c r="E7" s="2" t="str">
        <f>TBL_MASSA_CADASTRADA!E7</f>
        <v>reinger.camille@me.com</v>
      </c>
      <c r="F7" s="2" t="str">
        <f>TBL_MASSA_CADASTRADA!F7</f>
        <v>ReiCa78</v>
      </c>
      <c r="G7" s="2" t="e">
        <f>TBL_MASSA_CADASTRADA!#REF!</f>
        <v>#REF!</v>
      </c>
      <c r="H7" s="2" t="e">
        <f>TBL_MASSA_CADASTRADA!#REF!</f>
        <v>#REF!</v>
      </c>
      <c r="I7" s="2" t="e">
        <f>TBL_MASSA_CADASTRADA!#REF!</f>
        <v>#REF!</v>
      </c>
    </row>
    <row r="8" spans="1:9" x14ac:dyDescent="0.25">
      <c r="A8" s="7" t="s">
        <v>33</v>
      </c>
      <c r="B8" s="7" t="s">
        <v>24</v>
      </c>
      <c r="C8" s="2" t="str">
        <f>TBL_MASSA_CADASTRADA!C8</f>
        <v>Alene Barrows</v>
      </c>
      <c r="D8" s="2" t="str">
        <f>TBL_MASSA_CADASTRADA!D8</f>
        <v>jean@test.com</v>
      </c>
      <c r="E8" s="2">
        <f>TBL_MASSA_CADASTRADA!E8</f>
        <v>11111111111</v>
      </c>
      <c r="F8" s="2" t="str">
        <f>TBL_MASSA_CADASTRADA!F8</f>
        <v>admin999</v>
      </c>
      <c r="G8" s="2" t="e">
        <f>TBL_MASSA_CADASTRADA!#REF!</f>
        <v>#REF!</v>
      </c>
      <c r="H8" s="2" t="e">
        <f>TBL_MASSA_CADASTRADA!#REF!</f>
        <v>#REF!</v>
      </c>
      <c r="I8" s="2" t="e">
        <f>TBL_MASSA_CADASTRADA!#REF!</f>
        <v>#REF!</v>
      </c>
    </row>
    <row r="9" spans="1:9" x14ac:dyDescent="0.25">
      <c r="A9" s="7" t="s">
        <v>34</v>
      </c>
      <c r="B9" s="7" t="s">
        <v>18</v>
      </c>
      <c r="C9" s="2" t="str">
        <f>TBL_MASSA_CADASTRADA!C9</f>
        <v>Ashleigh Balistreri</v>
      </c>
      <c r="D9" s="2" t="str">
        <f>TBL_MASSA_CADASTRADA!D9</f>
        <v>gilvan@test.com</v>
      </c>
      <c r="E9" s="2">
        <f>TBL_MASSA_CADASTRADA!E9</f>
        <v>88888888888</v>
      </c>
      <c r="F9" s="2" t="str">
        <f>TBL_MASSA_CADASTRADA!F9</f>
        <v>admin999</v>
      </c>
      <c r="I9" s="2"/>
    </row>
    <row r="10" spans="1:9" x14ac:dyDescent="0.25">
      <c r="A10" s="7" t="s">
        <v>123</v>
      </c>
      <c r="B10" s="7" t="s">
        <v>124</v>
      </c>
      <c r="C10" s="2" t="str">
        <f>TBL_MASSA_CADASTRADA!C10</f>
        <v>Cindy Bosco</v>
      </c>
      <c r="D10" s="2" t="str">
        <f>TBL_MASSA_CADASTRADA!D10</f>
        <v>gilvan@test.com</v>
      </c>
      <c r="E10" s="2">
        <f>TBL_MASSA_CADASTRADA!E10</f>
        <v>88888888888</v>
      </c>
      <c r="F10" s="2" t="str">
        <f>TBL_MASSA_CADASTRADA!F10</f>
        <v>admin999</v>
      </c>
      <c r="G10" s="15"/>
      <c r="H10" s="14"/>
      <c r="I10" s="14"/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selection activeCell="F8" sqref="F8:F10"/>
    </sheetView>
  </sheetViews>
  <sheetFormatPr defaultRowHeight="15" x14ac:dyDescent="0.25"/>
  <cols>
    <col min="1" max="1" width="10.85546875" bestFit="1" customWidth="1"/>
    <col min="2" max="2" width="11.140625" bestFit="1" customWidth="1"/>
    <col min="3" max="3" width="18.85546875" bestFit="1" customWidth="1"/>
    <col min="4" max="4" width="18.140625" bestFit="1" customWidth="1"/>
    <col min="5" max="5" width="29.5703125" style="2" bestFit="1" customWidth="1"/>
    <col min="6" max="6" width="9.7109375" bestFit="1" customWidth="1"/>
    <col min="7" max="7" width="12" bestFit="1" customWidth="1"/>
  </cols>
  <sheetData>
    <row r="1" spans="1:7" x14ac:dyDescent="0.25">
      <c r="A1" t="s">
        <v>42</v>
      </c>
      <c r="B1" t="s">
        <v>43</v>
      </c>
      <c r="C1" t="s">
        <v>35</v>
      </c>
      <c r="D1" t="s">
        <v>119</v>
      </c>
      <c r="E1" s="2" t="s">
        <v>38</v>
      </c>
      <c r="F1" t="s">
        <v>36</v>
      </c>
      <c r="G1" t="s">
        <v>37</v>
      </c>
    </row>
    <row r="2" spans="1:7" x14ac:dyDescent="0.25">
      <c r="A2" t="s">
        <v>48</v>
      </c>
      <c r="B2" t="s">
        <v>49</v>
      </c>
      <c r="C2" t="s">
        <v>50</v>
      </c>
      <c r="D2" t="s">
        <v>51</v>
      </c>
      <c r="E2" s="2" t="s">
        <v>52</v>
      </c>
      <c r="F2" t="s">
        <v>53</v>
      </c>
      <c r="G2" t="s">
        <v>39</v>
      </c>
    </row>
    <row r="3" spans="1:7" x14ac:dyDescent="0.25">
      <c r="A3" t="s">
        <v>54</v>
      </c>
      <c r="B3" t="s">
        <v>55</v>
      </c>
      <c r="C3" t="s">
        <v>56</v>
      </c>
      <c r="D3" t="s">
        <v>57</v>
      </c>
      <c r="E3" s="2" t="s">
        <v>58</v>
      </c>
      <c r="F3" t="s">
        <v>59</v>
      </c>
      <c r="G3" t="s">
        <v>39</v>
      </c>
    </row>
    <row r="4" spans="1:7" x14ac:dyDescent="0.25">
      <c r="A4" t="s">
        <v>60</v>
      </c>
      <c r="B4" t="s">
        <v>47</v>
      </c>
      <c r="C4" t="s">
        <v>61</v>
      </c>
      <c r="D4" t="s">
        <v>62</v>
      </c>
      <c r="E4" s="2" t="s">
        <v>63</v>
      </c>
      <c r="F4" t="s">
        <v>64</v>
      </c>
      <c r="G4" t="s">
        <v>39</v>
      </c>
    </row>
    <row r="5" spans="1:7" x14ac:dyDescent="0.25">
      <c r="A5" t="s">
        <v>65</v>
      </c>
      <c r="B5" t="s">
        <v>66</v>
      </c>
      <c r="C5" t="s">
        <v>67</v>
      </c>
      <c r="D5" t="s">
        <v>68</v>
      </c>
      <c r="E5" s="2" t="s">
        <v>69</v>
      </c>
      <c r="F5" t="s">
        <v>70</v>
      </c>
      <c r="G5" t="s">
        <v>39</v>
      </c>
    </row>
    <row r="6" spans="1:7" x14ac:dyDescent="0.25">
      <c r="A6" t="s">
        <v>71</v>
      </c>
      <c r="B6" t="s">
        <v>72</v>
      </c>
      <c r="C6" t="s">
        <v>73</v>
      </c>
      <c r="D6" t="s">
        <v>74</v>
      </c>
      <c r="E6" s="2" t="s">
        <v>75</v>
      </c>
      <c r="F6" t="s">
        <v>76</v>
      </c>
      <c r="G6" t="s">
        <v>39</v>
      </c>
    </row>
    <row r="7" spans="1:7" x14ac:dyDescent="0.25">
      <c r="A7" t="s">
        <v>77</v>
      </c>
      <c r="B7" t="s">
        <v>78</v>
      </c>
      <c r="C7" t="s">
        <v>79</v>
      </c>
      <c r="D7" t="s">
        <v>80</v>
      </c>
      <c r="E7" s="2" t="s">
        <v>81</v>
      </c>
      <c r="F7" t="s">
        <v>82</v>
      </c>
      <c r="G7" t="s">
        <v>39</v>
      </c>
    </row>
    <row r="8" spans="1:7" x14ac:dyDescent="0.25">
      <c r="A8" t="s">
        <v>83</v>
      </c>
      <c r="B8" t="s">
        <v>44</v>
      </c>
      <c r="C8" t="s">
        <v>84</v>
      </c>
      <c r="D8" s="2" t="s">
        <v>120</v>
      </c>
      <c r="E8" s="2">
        <v>11111111111</v>
      </c>
      <c r="F8" t="s">
        <v>118</v>
      </c>
      <c r="G8" t="s">
        <v>39</v>
      </c>
    </row>
    <row r="9" spans="1:7" x14ac:dyDescent="0.25">
      <c r="A9" t="s">
        <v>85</v>
      </c>
      <c r="B9" t="s">
        <v>86</v>
      </c>
      <c r="C9" t="s">
        <v>87</v>
      </c>
      <c r="D9" s="2" t="s">
        <v>121</v>
      </c>
      <c r="E9" s="2">
        <v>88888888888</v>
      </c>
      <c r="F9" t="s">
        <v>118</v>
      </c>
      <c r="G9" t="s">
        <v>39</v>
      </c>
    </row>
    <row r="10" spans="1:7" x14ac:dyDescent="0.25">
      <c r="A10" t="s">
        <v>88</v>
      </c>
      <c r="B10" t="s">
        <v>46</v>
      </c>
      <c r="C10" t="s">
        <v>89</v>
      </c>
      <c r="D10" s="2" t="s">
        <v>121</v>
      </c>
      <c r="E10" s="2">
        <v>88888888888</v>
      </c>
      <c r="F10" t="s">
        <v>118</v>
      </c>
      <c r="G10" t="s">
        <v>39</v>
      </c>
    </row>
    <row r="11" spans="1:7" x14ac:dyDescent="0.25">
      <c r="A11" t="s">
        <v>90</v>
      </c>
      <c r="B11" t="s">
        <v>91</v>
      </c>
      <c r="C11" t="s">
        <v>92</v>
      </c>
      <c r="D11" t="s">
        <v>93</v>
      </c>
      <c r="E11" s="2" t="s">
        <v>94</v>
      </c>
      <c r="F11" t="s">
        <v>95</v>
      </c>
      <c r="G11" t="s">
        <v>39</v>
      </c>
    </row>
    <row r="12" spans="1:7" x14ac:dyDescent="0.25">
      <c r="A12" t="s">
        <v>96</v>
      </c>
      <c r="B12" t="s">
        <v>45</v>
      </c>
      <c r="C12" t="s">
        <v>97</v>
      </c>
      <c r="D12" t="s">
        <v>98</v>
      </c>
      <c r="E12" s="2" t="s">
        <v>99</v>
      </c>
      <c r="F12" t="s">
        <v>100</v>
      </c>
      <c r="G12" t="s">
        <v>39</v>
      </c>
    </row>
    <row r="13" spans="1:7" x14ac:dyDescent="0.25">
      <c r="A13" t="s">
        <v>101</v>
      </c>
      <c r="B13" t="s">
        <v>102</v>
      </c>
      <c r="C13" t="s">
        <v>103</v>
      </c>
      <c r="D13" t="s">
        <v>104</v>
      </c>
      <c r="E13" s="2" t="s">
        <v>105</v>
      </c>
      <c r="F13" t="s">
        <v>106</v>
      </c>
      <c r="G13" t="s">
        <v>39</v>
      </c>
    </row>
  </sheetData>
  <hyperlinks>
    <hyperlink ref="D8" r:id="rId1" xr:uid="{17A7BAE9-559F-4F91-B2D6-C638AEA4EA48}"/>
    <hyperlink ref="D9" r:id="rId2" xr:uid="{609E1D7C-4A2C-4E16-A3D0-B0E60476832D}"/>
    <hyperlink ref="D10" r:id="rId3" xr:uid="{F17B4AB9-5740-4EA4-925E-EEDD49A62C0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TBL_CENARIOS</vt:lpstr>
      <vt:lpstr>TBL_CADASTRO</vt:lpstr>
      <vt:lpstr>TBL_MASSA_CADASTRADA</vt:lpstr>
      <vt:lpstr>TBL_CADASTRO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2025-12-01T23:11:43Z</dcterms:modified>
</cp:coreProperties>
</file>