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E15A6F3C-0F73-4BE8-B706-837484012AD4}" xr6:coauthVersionLast="47" xr6:coauthVersionMax="47" xr10:uidLastSave="{00000000-0000-0000-0000-000000000000}"/>
  <bookViews>
    <workbookView xWindow="22932" yWindow="-48" windowWidth="23256" windowHeight="12456" tabRatio="689" xr2:uid="{BE8CC490-7143-461B-A081-5E1B4D404489}"/>
  </bookViews>
  <sheets>
    <sheet name="TBL_CENARIOS" sheetId="3" r:id="rId1"/>
    <sheet name="TBL_CADASTRO" sheetId="4" r:id="rId2"/>
    <sheet name="TBL_USUARIOS_SECUNDARIOS" sheetId="8" r:id="rId3"/>
    <sheet name="TBL_DADOS_CHAVE_PIX" sheetId="6" r:id="rId4"/>
    <sheet name="TBL_MASSA_CADASTRADA" sheetId="5" r:id="rId5"/>
  </sheets>
  <definedNames>
    <definedName name="TBL_CADASTRO" localSheetId="3">Tabela153[]</definedName>
    <definedName name="TBL_CADASTRO" localSheetId="2">Tabela15[]</definedName>
    <definedName name="TBL_CADASTRO">Tabela15[]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G5" i="3"/>
  <c r="H5" i="3"/>
  <c r="F4" i="3"/>
  <c r="G4" i="3"/>
  <c r="H4" i="3"/>
  <c r="F6" i="3"/>
  <c r="G6" i="3"/>
  <c r="H6" i="3"/>
  <c r="G29" i="3"/>
  <c r="G31" i="3"/>
  <c r="G22" i="8"/>
  <c r="G24" i="8"/>
  <c r="G26" i="3"/>
  <c r="F21" i="3"/>
  <c r="G21" i="3"/>
  <c r="H21" i="3"/>
  <c r="E14" i="8"/>
  <c r="E16" i="8"/>
  <c r="E17" i="8"/>
  <c r="F14" i="8"/>
  <c r="F16" i="8"/>
  <c r="F17" i="8"/>
  <c r="G14" i="8"/>
  <c r="G16" i="8"/>
  <c r="G17" i="8"/>
  <c r="E13" i="8"/>
  <c r="F13" i="8"/>
  <c r="G13" i="8"/>
  <c r="F18" i="3"/>
  <c r="F19" i="3"/>
  <c r="F20" i="3"/>
  <c r="G18" i="3"/>
  <c r="G19" i="3"/>
  <c r="G20" i="3"/>
  <c r="H18" i="3"/>
  <c r="H19" i="3"/>
  <c r="H20" i="3"/>
  <c r="F17" i="3"/>
  <c r="G17" i="3"/>
  <c r="H17" i="3"/>
  <c r="G3" i="3"/>
  <c r="G11" i="8"/>
  <c r="G10" i="8"/>
  <c r="G8" i="8"/>
  <c r="G7" i="8"/>
  <c r="G11" i="3"/>
  <c r="D3" i="6"/>
  <c r="D4" i="6"/>
  <c r="D5" i="6"/>
  <c r="D2" i="6"/>
  <c r="B3" i="6"/>
  <c r="G5" i="8"/>
  <c r="G4" i="8"/>
  <c r="G3" i="8"/>
  <c r="B2" i="6"/>
  <c r="H8" i="3"/>
  <c r="H9" i="3"/>
  <c r="C2" i="4"/>
  <c r="C4" i="4"/>
  <c r="E25" i="8" s="1"/>
  <c r="C5" i="4"/>
  <c r="B5" i="6" s="1"/>
  <c r="C3" i="4"/>
  <c r="H7" i="3" s="1"/>
  <c r="H5" i="4"/>
  <c r="G5" i="4"/>
  <c r="F5" i="4"/>
  <c r="E5" i="4"/>
  <c r="G9" i="3" s="1"/>
  <c r="D5" i="4"/>
  <c r="B5" i="4"/>
  <c r="H4" i="4"/>
  <c r="G4" i="4"/>
  <c r="F4" i="4"/>
  <c r="E4" i="4"/>
  <c r="G8" i="3" s="1"/>
  <c r="D4" i="4"/>
  <c r="F8" i="3" s="1"/>
  <c r="B4" i="4"/>
  <c r="H3" i="4"/>
  <c r="G3" i="4"/>
  <c r="F3" i="4"/>
  <c r="E3" i="4"/>
  <c r="G7" i="3" s="1"/>
  <c r="D3" i="4"/>
  <c r="F7" i="3" s="1"/>
  <c r="B3" i="4"/>
  <c r="H2" i="4"/>
  <c r="G2" i="4"/>
  <c r="F2" i="4"/>
  <c r="E2" i="4"/>
  <c r="D2" i="4"/>
  <c r="B2" i="4"/>
  <c r="F9" i="3"/>
  <c r="G6" i="8" l="1"/>
  <c r="G15" i="3"/>
  <c r="G27" i="3"/>
  <c r="G23" i="8"/>
  <c r="G30" i="3"/>
  <c r="G12" i="3"/>
  <c r="G25" i="3"/>
  <c r="G21" i="8"/>
  <c r="G29" i="8"/>
  <c r="G14" i="3"/>
  <c r="G15" i="8"/>
  <c r="G12" i="8"/>
  <c r="G24" i="3"/>
  <c r="G20" i="8"/>
  <c r="G28" i="8"/>
  <c r="G2" i="8"/>
  <c r="G13" i="3"/>
  <c r="G16" i="3"/>
  <c r="G23" i="3"/>
  <c r="G19" i="8"/>
  <c r="G27" i="8"/>
  <c r="G22" i="3"/>
  <c r="G28" i="3"/>
  <c r="G26" i="8"/>
  <c r="G10" i="3"/>
  <c r="G9" i="8"/>
  <c r="G18" i="8"/>
  <c r="G32" i="3"/>
  <c r="G25" i="8"/>
  <c r="F22" i="8"/>
  <c r="F11" i="3"/>
  <c r="F10" i="8"/>
  <c r="F26" i="3"/>
  <c r="F21" i="8"/>
  <c r="F27" i="3"/>
  <c r="F20" i="8"/>
  <c r="F24" i="3"/>
  <c r="F19" i="8"/>
  <c r="F31" i="3"/>
  <c r="F29" i="8"/>
  <c r="F3" i="3"/>
  <c r="F12" i="3"/>
  <c r="F32" i="3"/>
  <c r="F3" i="8"/>
  <c r="F11" i="8"/>
  <c r="F12" i="8"/>
  <c r="F23" i="3"/>
  <c r="F30" i="3"/>
  <c r="F28" i="8"/>
  <c r="F5" i="8"/>
  <c r="F2" i="8"/>
  <c r="F9" i="8"/>
  <c r="F7" i="8"/>
  <c r="F14" i="3"/>
  <c r="F22" i="3"/>
  <c r="F28" i="3"/>
  <c r="F29" i="3"/>
  <c r="F27" i="8"/>
  <c r="F8" i="8"/>
  <c r="F25" i="3"/>
  <c r="F4" i="8"/>
  <c r="F6" i="8"/>
  <c r="F13" i="3"/>
  <c r="F15" i="3"/>
  <c r="F15" i="8"/>
  <c r="F16" i="3"/>
  <c r="F24" i="8"/>
  <c r="F26" i="8"/>
  <c r="F10" i="3"/>
  <c r="F18" i="8"/>
  <c r="F23" i="8"/>
  <c r="F25" i="8"/>
  <c r="H24" i="3"/>
  <c r="H14" i="3"/>
  <c r="E7" i="8"/>
  <c r="E4" i="8"/>
  <c r="E22" i="8"/>
  <c r="E8" i="8"/>
  <c r="E21" i="8"/>
  <c r="E2" i="8"/>
  <c r="H11" i="3"/>
  <c r="E11" i="8"/>
  <c r="E15" i="8"/>
  <c r="H22" i="3"/>
  <c r="E20" i="8"/>
  <c r="H29" i="3"/>
  <c r="E3" i="8"/>
  <c r="E18" i="8"/>
  <c r="H30" i="3"/>
  <c r="H10" i="3"/>
  <c r="H15" i="3"/>
  <c r="E19" i="8"/>
  <c r="H28" i="3"/>
  <c r="B4" i="6"/>
  <c r="H13" i="3"/>
  <c r="E29" i="8"/>
  <c r="E6" i="8"/>
  <c r="H27" i="3"/>
  <c r="E10" i="8"/>
  <c r="H3" i="3"/>
  <c r="E12" i="8"/>
  <c r="H26" i="3"/>
  <c r="E24" i="8"/>
  <c r="E28" i="8"/>
  <c r="H2" i="3"/>
  <c r="E5" i="8"/>
  <c r="E9" i="8"/>
  <c r="H16" i="3"/>
  <c r="H25" i="3"/>
  <c r="E23" i="8"/>
  <c r="H32" i="3"/>
  <c r="E27" i="8"/>
  <c r="H31" i="3"/>
  <c r="E26" i="8"/>
  <c r="H12" i="3"/>
  <c r="H23" i="3"/>
  <c r="G2" i="3"/>
  <c r="F2" i="3"/>
</calcChain>
</file>

<file path=xl/sharedStrings.xml><?xml version="1.0" encoding="utf-8"?>
<sst xmlns="http://schemas.openxmlformats.org/spreadsheetml/2006/main" count="244" uniqueCount="101">
  <si>
    <t>FEATURE</t>
  </si>
  <si>
    <t>SENHA</t>
  </si>
  <si>
    <t>SEQ</t>
  </si>
  <si>
    <t>ID_CENARIO</t>
  </si>
  <si>
    <t>NOME</t>
  </si>
  <si>
    <t>ID_USUARIO</t>
  </si>
  <si>
    <t>OBSERVAÇÃO</t>
  </si>
  <si>
    <t>SPRINT</t>
  </si>
  <si>
    <t>Buscar a lista de usuários CMS com autenticação</t>
  </si>
  <si>
    <t>Busca de usuario por ID</t>
  </si>
  <si>
    <t>Validar alteração de usuário</t>
  </si>
  <si>
    <t>usuario</t>
  </si>
  <si>
    <t>NOME_COMPLETO</t>
  </si>
  <si>
    <t>EMAIL</t>
  </si>
  <si>
    <t>0001</t>
  </si>
  <si>
    <t>0002</t>
  </si>
  <si>
    <t>0003</t>
  </si>
  <si>
    <t>0004</t>
  </si>
  <si>
    <t>ID_MASSA</t>
  </si>
  <si>
    <t>Realizar login com sucesso</t>
  </si>
  <si>
    <t>NomeCompleto</t>
  </si>
  <si>
    <t>NomeUsuario</t>
  </si>
  <si>
    <t>Email</t>
  </si>
  <si>
    <t>Senha</t>
  </si>
  <si>
    <t>Administrador</t>
  </si>
  <si>
    <t>CPF</t>
  </si>
  <si>
    <t>true</t>
  </si>
  <si>
    <t>ID_CATEGORIA</t>
  </si>
  <si>
    <t>ID_ARTIGO</t>
  </si>
  <si>
    <t>Nome</t>
  </si>
  <si>
    <t>Sobrenome</t>
  </si>
  <si>
    <t>admin999</t>
  </si>
  <si>
    <t>jean@test.com</t>
  </si>
  <si>
    <t>sheila@test.com</t>
  </si>
  <si>
    <t>Jean</t>
  </si>
  <si>
    <t>Sousa</t>
  </si>
  <si>
    <t>Gilvan</t>
  </si>
  <si>
    <t>Sheila</t>
  </si>
  <si>
    <t>Jean Sousa</t>
  </si>
  <si>
    <t>Gilvan Sousa</t>
  </si>
  <si>
    <t>Sheila Sousa</t>
  </si>
  <si>
    <t>admin</t>
  </si>
  <si>
    <t>admin@test.com</t>
  </si>
  <si>
    <t>CT-01.1</t>
  </si>
  <si>
    <t>TELEFONE</t>
  </si>
  <si>
    <t>CHAVE_ALEATORIA</t>
  </si>
  <si>
    <t>AGENCIA</t>
  </si>
  <si>
    <t>CONTA</t>
  </si>
  <si>
    <t>DIGITO</t>
  </si>
  <si>
    <t xml:space="preserve">OBSERVAÇÃO </t>
  </si>
  <si>
    <t>72b1b3d2-f929-48ff-af3e-cd5dc876d7b8</t>
  </si>
  <si>
    <t>000254823</t>
  </si>
  <si>
    <t>2</t>
  </si>
  <si>
    <t>MASSA_NAO_AUTOMATIZADA_PRECISA_PREENCHER</t>
  </si>
  <si>
    <t>72b1b3d2-f929-47ff-af3e-cd5dc876d7b8</t>
  </si>
  <si>
    <t>72b1b3d2-f929-46ff-af3e-cd5dc876d7b8</t>
  </si>
  <si>
    <t>72b1b3d2-f929-45ff-af3e-cd5dc876d7b8</t>
  </si>
  <si>
    <t>0005</t>
  </si>
  <si>
    <t>keka Sousa</t>
  </si>
  <si>
    <t>keka@test.com</t>
  </si>
  <si>
    <t>CT-02.1</t>
  </si>
  <si>
    <t>CT-02.2</t>
  </si>
  <si>
    <t>CT-02.3</t>
  </si>
  <si>
    <t>CT-02.4</t>
  </si>
  <si>
    <t>CT-03.1</t>
  </si>
  <si>
    <t>CT-03.2</t>
  </si>
  <si>
    <t>CT-03.3</t>
  </si>
  <si>
    <t>CT-03.4</t>
  </si>
  <si>
    <t>CT-03.5</t>
  </si>
  <si>
    <t>CT-03.6</t>
  </si>
  <si>
    <t>CT-01.2</t>
  </si>
  <si>
    <t>CT-04.1</t>
  </si>
  <si>
    <t>CT-04.2</t>
  </si>
  <si>
    <t>CT-04.3</t>
  </si>
  <si>
    <t>CT-04.4</t>
  </si>
  <si>
    <t>CT-04.5</t>
  </si>
  <si>
    <t>CT-03.7</t>
  </si>
  <si>
    <t>CT-05.1</t>
  </si>
  <si>
    <t>CT-05.2</t>
  </si>
  <si>
    <t>CT-05.3</t>
  </si>
  <si>
    <t>CT-05.4</t>
  </si>
  <si>
    <t>CT-05.5</t>
  </si>
  <si>
    <t>CT-05.6</t>
  </si>
  <si>
    <t>CT-05.7</t>
  </si>
  <si>
    <t>CT-06.1</t>
  </si>
  <si>
    <t>CT-06.2</t>
  </si>
  <si>
    <t>CT-06.3</t>
  </si>
  <si>
    <t>CT-06.4</t>
  </si>
  <si>
    <t>CT-06.5</t>
  </si>
  <si>
    <t>Usuario Teste</t>
  </si>
  <si>
    <t>Maria Sousa</t>
  </si>
  <si>
    <t>Gilvana Sousa</t>
  </si>
  <si>
    <t>Jessica Sousa</t>
  </si>
  <si>
    <t>gilvan@example.com</t>
  </si>
  <si>
    <t>teste@test.com</t>
  </si>
  <si>
    <t>maria@test.com</t>
  </si>
  <si>
    <t>gilvana@test.com</t>
  </si>
  <si>
    <t>jessica@test.com</t>
  </si>
  <si>
    <t>CT-01.3</t>
  </si>
  <si>
    <t>CT-01.4</t>
  </si>
  <si>
    <t>CT-01.5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</si>
</sst>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applyAlignment="1">
      <alignment horizontal="left" vertical="center"/>
    </xf>
    <xf numFmtId="49" fontId="3" fillId="3" borderId="0" xfId="0" applyNumberFormat="1" applyFont="1" applyFill="1" applyAlignment="1">
      <alignment horizontal="center" vertical="center"/>
    </xf>
    <xf numFmtId="0" fontId="2" fillId="0" borderId="0" xfId="1"/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 vertical="center"/>
    </xf>
    <xf numFmtId="0" fontId="0" fillId="0" borderId="0" xfId="0" applyNumberFormat="1" applyAlignment="1">
      <alignment horizontal="left"/>
    </xf>
    <xf numFmtId="0" fontId="0" fillId="2" borderId="0" xfId="0" applyNumberFormat="1" applyFill="1" applyAlignment="1">
      <alignment horizontal="left"/>
    </xf>
    <xf numFmtId="0" fontId="0" fillId="2" borderId="0" xfId="0" applyNumberFormat="1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39997558519241921"/>
        </patternFill>
      </fill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F21A2-18B3-4119-B8E1-51F7C4D22D38}" name="Tabela1" displayName="Tabela1" ref="A1:J32" totalsRowShown="0" headerRowDxfId="40">
  <autoFilter ref="A1:J32" xr:uid="{056F21A2-18B3-4119-B8E1-51F7C4D22D38}"/>
  <tableColumns count="10">
    <tableColumn id="1" xr3:uid="{240E8A87-6B9D-469C-96B4-1ADF1A1B51F9}" name="SEQ" dataDxfId="39"/>
    <tableColumn id="2" xr3:uid="{A5A7BB75-84B5-4E70-9BA0-C776DE14C91C}" name="ID_CENARIO" dataDxfId="38"/>
    <tableColumn id="3" xr3:uid="{F8063F50-952C-4E2D-A074-3E8144115D2A}" name="NOME"/>
    <tableColumn id="4" xr3:uid="{8DDE6FAA-E6CF-4246-9642-56091E15680F}" name="FEATURE" dataDxfId="37"/>
    <tableColumn id="5" xr3:uid="{C3B59964-FB20-45D3-83A9-C8E4430D8B4D}" name="ID_MASSA" dataDxfId="36"/>
    <tableColumn id="6" xr3:uid="{BD63E5A8-2387-4287-9027-FC33B730B309}" name="EMAIL" dataDxfId="35">
      <calculatedColumnFormula>VLOOKUP(Tabela1[[#This Row],[ID_MASSA]],Tabela15[[ID_MASSA]:[SENHA]],4,FALSE)</calculatedColumnFormula>
    </tableColumn>
    <tableColumn id="10" xr3:uid="{BC16A81B-1C0C-4894-BA93-501560053E29}" name="SENHA" dataDxfId="34">
      <calculatedColumnFormula>VLOOKUP(Tabela1[[#This Row],[ID_MASSA]],Tabela15[[ID_MASSA]:[SENHA]],5,FALSE)</calculatedColumnFormula>
    </tableColumn>
    <tableColumn id="7" xr3:uid="{B89F7EB3-E18D-4B11-80BD-03538541B067}" name="CPF" dataDxfId="33">
      <calculatedColumnFormula>VLOOKUP(Tabela1[[#This Row],[ID_MASSA]],Tabela15[[#All],[ID_MASSA]:[ID_ARTIGO]],3,FALSE)</calculatedColumnFormula>
    </tableColumn>
    <tableColumn id="8" xr3:uid="{91B77134-9262-4982-8071-0C4FB038C565}" name="OBSERVAÇÃO"/>
    <tableColumn id="9" xr3:uid="{88B2B33A-A61C-4E21-927A-BA2F7510438A}" name="SPRINT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113370-7307-4D9F-A005-28D4D96B86FA}" name="Tabela15" displayName="Tabela15" ref="A1:H6" totalsRowShown="0" headerRowDxfId="32" dataDxfId="31">
  <autoFilter ref="A1:H6" xr:uid="{056F21A2-18B3-4119-B8E1-51F7C4D22D38}"/>
  <tableColumns count="8">
    <tableColumn id="2" xr3:uid="{1B34B2D7-6E01-4503-BF80-E6FA0B5264BE}" name="ID_MASSA" dataDxfId="30"/>
    <tableColumn id="3" xr3:uid="{2A87BFE1-F7B7-4CC5-BF83-A1ACA0AA1B71}" name="NOME_COMPLETO" dataDxfId="29"/>
    <tableColumn id="4" xr3:uid="{CEE84FB7-6516-43D3-A087-5E2B5901F371}" name="CPF" dataDxfId="28"/>
    <tableColumn id="5" xr3:uid="{A94F6B35-2950-495F-ABAD-80D52A635FCB}" name="EMAIL" dataDxfId="27"/>
    <tableColumn id="7" xr3:uid="{C45F2582-248A-4FD2-93C4-DC5EE6FD9337}" name="SENHA" dataDxfId="26"/>
    <tableColumn id="6" xr3:uid="{4A91FF1E-8039-4084-81C6-46AC93CD4987}" name="ID_USUARIO" dataDxfId="25"/>
    <tableColumn id="8" xr3:uid="{76915B7C-C8DF-49DC-AE8C-85A8E195B653}" name="ID_CATEGORIA" dataDxfId="24"/>
    <tableColumn id="9" xr3:uid="{7019F3A5-C393-4DF2-A287-B48B03B927F9}" name="ID_ARTIGO" dataDxfId="23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92DC66-8FA8-4611-8E4A-002C17C9DDD7}" name="Tabela14" displayName="Tabela14" ref="A1:I29" totalsRowShown="0" headerRowDxfId="22">
  <autoFilter ref="A1:I29" xr:uid="{056F21A2-18B3-4119-B8E1-51F7C4D22D38}"/>
  <tableColumns count="9">
    <tableColumn id="2" xr3:uid="{907A5888-4B91-4CD4-9E98-918E6E6B2841}" name="ID_CENARIO" dataDxfId="21"/>
    <tableColumn id="3" xr3:uid="{73791A25-F9F6-445A-8D6C-209E36102C8B}" name="NOME"/>
    <tableColumn id="4" xr3:uid="{6AA92138-A152-4557-B388-DB528AA71778}" name="FEATURE" dataDxfId="20"/>
    <tableColumn id="5" xr3:uid="{65A4BB1B-A1AC-4F08-9E34-E56BDF851C70}" name="ID_MASSA" dataDxfId="19"/>
    <tableColumn id="7" xr3:uid="{91CD3DA9-8D40-4F19-AF8E-49DDE462F8BC}" name="CPF" dataDxfId="18">
      <calculatedColumnFormula>VLOOKUP(Tabela14[[#This Row],[ID_MASSA]],Tabela15[],3,FALSE)</calculatedColumnFormula>
    </tableColumn>
    <tableColumn id="6" xr3:uid="{75988EFA-04E1-45F1-AE0D-BAEF60887F08}" name="EMAIL" dataDxfId="17">
      <calculatedColumnFormula>VLOOKUP(Tabela14[[#This Row],[ID_MASSA]],Tabela15[[ID_MASSA]:[SENHA]],4,FALSE)</calculatedColumnFormula>
    </tableColumn>
    <tableColumn id="10" xr3:uid="{2FAB6614-48DF-4648-9983-59E4A784E40F}" name="SENHA" dataDxfId="16">
      <calculatedColumnFormula>VLOOKUP(Tabela14[[#This Row],[ID_MASSA]],Tabela15[[ID_MASSA]:[SENHA]],5,FALSE)</calculatedColumnFormula>
    </tableColumn>
    <tableColumn id="8" xr3:uid="{278CC44D-0DB7-4BF8-9316-DC5E51D91000}" name="OBSERVAÇÃO"/>
    <tableColumn id="9" xr3:uid="{681701AE-D3AF-45FD-A860-555B32BF8600}" name="SPRINT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3233-B58E-4112-B000-059FD342A392}" name="Tabela153" displayName="Tabela153" ref="A1:I5" totalsRowShown="0" headerRowDxfId="15" dataDxfId="14">
  <autoFilter ref="A1:I5" xr:uid="{056F21A2-18B3-4119-B8E1-51F7C4D22D38}"/>
  <tableColumns count="9">
    <tableColumn id="1" xr3:uid="{F5E835E2-92C7-444D-8DFE-474489FAC14C}" name="ID_USUARIO" dataDxfId="13"/>
    <tableColumn id="2" xr3:uid="{BA5FBB3E-8002-4A80-8788-45FA86CAD1B6}" name="CPF" dataDxfId="12">
      <calculatedColumnFormula>VLOOKUP(A2,Tabela15[[#All],[ID_MASSA]:[ID_ARTIGO]],3,0)</calculatedColumnFormula>
    </tableColumn>
    <tableColumn id="3" xr3:uid="{B07880C6-54E8-4C8D-BEF5-C41EE78F3607}" name="TELEFONE" dataDxfId="11"/>
    <tableColumn id="4" xr3:uid="{6C83864E-6A50-4701-8F3B-57B0564A8CFD}" name="EMAIL" dataDxfId="10" dataCellStyle="Hiperlink">
      <calculatedColumnFormula>TBL_MASSA_CADASTRADA!E2</calculatedColumnFormula>
    </tableColumn>
    <tableColumn id="5" xr3:uid="{6BB5D0A8-F5BA-4431-8265-39FD7084F332}" name="CHAVE_ALEATORIA" dataDxfId="9"/>
    <tableColumn id="7" xr3:uid="{C59544FA-BD63-4E34-8E14-D027C9CC83C0}" name="AGENCIA" dataDxfId="8"/>
    <tableColumn id="6" xr3:uid="{9A34D4FD-4BBC-4B03-966E-202C6C433416}" name="CONTA" dataDxfId="7"/>
    <tableColumn id="8" xr3:uid="{42C785A6-9EAE-4303-B4B1-F7840267AE60}" name="DIGITO" dataDxfId="6"/>
    <tableColumn id="9" xr3:uid="{3B628683-B4E6-46AD-8DB4-CE057F0E1A3B}" name="OBSERVAÇÃO 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keka@test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admin@test.com" TargetMode="External"/><Relationship Id="rId1" Type="http://schemas.openxmlformats.org/officeDocument/2006/relationships/hyperlink" Target="mailto:admin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1858-38D3-4D97-A145-DA082D656605}">
  <dimension ref="A1:J32"/>
  <sheetViews>
    <sheetView tabSelected="1" zoomScale="140" zoomScaleNormal="140" workbookViewId="0">
      <selection activeCell="E3" sqref="E3:E6"/>
    </sheetView>
  </sheetViews>
  <sheetFormatPr defaultRowHeight="15" x14ac:dyDescent="0.25"/>
  <cols>
    <col min="1" max="1" width="7" style="1" bestFit="1" customWidth="1"/>
    <col min="2" max="2" width="12.5703125" style="1" customWidth="1"/>
    <col min="3" max="3" width="42.42578125" customWidth="1"/>
    <col min="4" max="4" width="13.5703125" style="1" bestFit="1" customWidth="1"/>
    <col min="5" max="5" width="14.5703125" style="4" bestFit="1" customWidth="1"/>
    <col min="6" max="6" width="15.85546875" style="2" bestFit="1" customWidth="1"/>
    <col min="7" max="7" width="11.85546875" style="2" bestFit="1" customWidth="1"/>
    <col min="8" max="8" width="15.42578125" style="3" customWidth="1"/>
    <col min="9" max="9" width="18.140625" bestFit="1" customWidth="1"/>
    <col min="10" max="10" width="12.140625" bestFit="1" customWidth="1"/>
  </cols>
  <sheetData>
    <row r="1" spans="1:10" s="3" customFormat="1" ht="42.75" customHeight="1" x14ac:dyDescent="0.25">
      <c r="A1" s="3" t="s">
        <v>2</v>
      </c>
      <c r="B1" s="3" t="s">
        <v>3</v>
      </c>
      <c r="C1" s="3" t="s">
        <v>4</v>
      </c>
      <c r="D1" s="3" t="s">
        <v>0</v>
      </c>
      <c r="E1" s="4" t="s">
        <v>18</v>
      </c>
      <c r="F1" s="3" t="s">
        <v>13</v>
      </c>
      <c r="G1" s="3" t="s">
        <v>1</v>
      </c>
      <c r="H1" s="3" t="s">
        <v>25</v>
      </c>
      <c r="I1" s="3" t="s">
        <v>6</v>
      </c>
      <c r="J1" s="3" t="s">
        <v>7</v>
      </c>
    </row>
    <row r="2" spans="1:10" x14ac:dyDescent="0.25">
      <c r="A2" s="1">
        <v>1</v>
      </c>
      <c r="B2" s="8" t="s">
        <v>43</v>
      </c>
      <c r="C2" s="9" t="s">
        <v>19</v>
      </c>
      <c r="D2" s="8" t="s">
        <v>11</v>
      </c>
      <c r="E2" s="4" t="s">
        <v>16</v>
      </c>
      <c r="F2" s="2" t="str">
        <f>VLOOKUP(Tabela1[[#This Row],[ID_MASSA]],Tabela15[[ID_MASSA]:[SENHA]],4,FALSE)</f>
        <v>teste@test.com</v>
      </c>
      <c r="G2" s="10" t="str">
        <f>VLOOKUP(Tabela1[[#This Row],[ID_MASSA]],Tabela15[[ID_MASSA]:[SENHA]],5,FALSE)</f>
        <v>admin999</v>
      </c>
      <c r="H2" s="17">
        <f>VLOOKUP(Tabela1[[#This Row],[ID_MASSA]],Tabela15[[#All],[ID_MASSA]:[ID_ARTIGO]],3,FALSE)</f>
        <v>22222222222</v>
      </c>
      <c r="I2" s="9"/>
      <c r="J2" s="9"/>
    </row>
    <row r="3" spans="1:10" x14ac:dyDescent="0.25">
      <c r="B3" s="8" t="s">
        <v>70</v>
      </c>
      <c r="C3" s="9"/>
      <c r="D3" s="8"/>
      <c r="E3" s="4" t="s">
        <v>16</v>
      </c>
      <c r="F3" s="2" t="str">
        <f>VLOOKUP(Tabela1[[#This Row],[ID_MASSA]],Tabela15[[ID_MASSA]:[SENHA]],4,FALSE)</f>
        <v>teste@test.com</v>
      </c>
      <c r="G3" s="10" t="str">
        <f>VLOOKUP(Tabela1[[#This Row],[ID_MASSA]],Tabela15[[ID_MASSA]:[SENHA]],5,FALSE)</f>
        <v>admin999</v>
      </c>
      <c r="H3" s="17">
        <f>VLOOKUP(Tabela1[[#This Row],[ID_MASSA]],Tabela15[[#All],[ID_MASSA]:[ID_ARTIGO]],3,FALSE)</f>
        <v>22222222222</v>
      </c>
      <c r="I3" s="9"/>
      <c r="J3" s="9"/>
    </row>
    <row r="4" spans="1:10" x14ac:dyDescent="0.25">
      <c r="B4" s="8" t="s">
        <v>98</v>
      </c>
      <c r="C4" s="9"/>
      <c r="D4" s="8"/>
      <c r="E4" s="4" t="s">
        <v>16</v>
      </c>
      <c r="F4" s="18" t="str">
        <f>VLOOKUP(Tabela1[[#This Row],[ID_MASSA]],Tabela15[[ID_MASSA]:[SENHA]],4,FALSE)</f>
        <v>teste@test.com</v>
      </c>
      <c r="G4" s="19" t="str">
        <f>VLOOKUP(Tabela1[[#This Row],[ID_MASSA]],Tabela15[[ID_MASSA]:[SENHA]],5,FALSE)</f>
        <v>admin999</v>
      </c>
      <c r="H4" s="20">
        <f>VLOOKUP(Tabela1[[#This Row],[ID_MASSA]],Tabela15[[#All],[ID_MASSA]:[ID_ARTIGO]],3,FALSE)</f>
        <v>22222222222</v>
      </c>
      <c r="I4" s="9"/>
      <c r="J4" s="9"/>
    </row>
    <row r="5" spans="1:10" x14ac:dyDescent="0.25">
      <c r="B5" s="8" t="s">
        <v>99</v>
      </c>
      <c r="C5" s="9"/>
      <c r="D5" s="8"/>
      <c r="E5" s="4" t="s">
        <v>16</v>
      </c>
      <c r="F5" s="18" t="str">
        <f>VLOOKUP(Tabela1[[#This Row],[ID_MASSA]],Tabela15[[ID_MASSA]:[SENHA]],4,FALSE)</f>
        <v>teste@test.com</v>
      </c>
      <c r="G5" s="19" t="str">
        <f>VLOOKUP(Tabela1[[#This Row],[ID_MASSA]],Tabela15[[ID_MASSA]:[SENHA]],5,FALSE)</f>
        <v>admin999</v>
      </c>
      <c r="H5" s="20">
        <f>VLOOKUP(Tabela1[[#This Row],[ID_MASSA]],Tabela15[[#All],[ID_MASSA]:[ID_ARTIGO]],3,FALSE)</f>
        <v>22222222222</v>
      </c>
      <c r="I5" s="9"/>
      <c r="J5" s="9"/>
    </row>
    <row r="6" spans="1:10" x14ac:dyDescent="0.25">
      <c r="B6" s="8" t="s">
        <v>100</v>
      </c>
      <c r="C6" s="9"/>
      <c r="D6" s="8"/>
      <c r="E6" s="4" t="s">
        <v>16</v>
      </c>
      <c r="F6" s="18" t="str">
        <f>VLOOKUP(Tabela1[[#This Row],[ID_MASSA]],Tabela15[[ID_MASSA]:[SENHA]],4,FALSE)</f>
        <v>teste@test.com</v>
      </c>
      <c r="G6" s="19" t="str">
        <f>VLOOKUP(Tabela1[[#This Row],[ID_MASSA]],Tabela15[[ID_MASSA]:[SENHA]],5,FALSE)</f>
        <v>admin999</v>
      </c>
      <c r="H6" s="20">
        <f>VLOOKUP(Tabela1[[#This Row],[ID_MASSA]],Tabela15[[#All],[ID_MASSA]:[ID_ARTIGO]],3,FALSE)</f>
        <v>22222222222</v>
      </c>
      <c r="I6" s="9"/>
      <c r="J6" s="9"/>
    </row>
    <row r="7" spans="1:10" x14ac:dyDescent="0.25">
      <c r="A7" s="1">
        <v>2</v>
      </c>
      <c r="B7" s="8" t="s">
        <v>60</v>
      </c>
      <c r="C7" s="9" t="s">
        <v>8</v>
      </c>
      <c r="D7" s="8" t="s">
        <v>11</v>
      </c>
      <c r="E7" s="4" t="s">
        <v>14</v>
      </c>
      <c r="F7" s="2" t="str">
        <f>VLOOKUP(Tabela1[[#This Row],[ID_MASSA]],Tabela15[[ID_MASSA]:[SENHA]],4,FALSE)</f>
        <v>admin@test.com</v>
      </c>
      <c r="G7" s="10" t="str">
        <f>VLOOKUP(Tabela1[[#This Row],[ID_MASSA]],Tabela15[[ID_MASSA]:[SENHA]],5,FALSE)</f>
        <v>admin999</v>
      </c>
      <c r="H7" s="17">
        <f>VLOOKUP(Tabela1[[#This Row],[ID_MASSA]],Tabela15[[#All],[ID_MASSA]:[ID_ARTIGO]],3,FALSE)</f>
        <v>99999999999</v>
      </c>
      <c r="I7" s="9"/>
      <c r="J7" s="9"/>
    </row>
    <row r="8" spans="1:10" x14ac:dyDescent="0.25">
      <c r="A8" s="1">
        <v>3</v>
      </c>
      <c r="B8" s="8" t="s">
        <v>61</v>
      </c>
      <c r="C8" s="9" t="s">
        <v>9</v>
      </c>
      <c r="D8" s="8" t="s">
        <v>11</v>
      </c>
      <c r="E8" s="4" t="s">
        <v>14</v>
      </c>
      <c r="F8" s="2" t="str">
        <f>VLOOKUP(Tabela1[[#This Row],[ID_MASSA]],Tabela15[[ID_MASSA]:[SENHA]],4,FALSE)</f>
        <v>admin@test.com</v>
      </c>
      <c r="G8" s="10" t="str">
        <f>VLOOKUP(Tabela1[[#This Row],[ID_MASSA]],Tabela15[[ID_MASSA]:[SENHA]],5,FALSE)</f>
        <v>admin999</v>
      </c>
      <c r="H8" s="17">
        <f>VLOOKUP(Tabela1[[#This Row],[ID_MASSA]],Tabela15[[#All],[ID_MASSA]:[ID_ARTIGO]],3,FALSE)</f>
        <v>99999999999</v>
      </c>
      <c r="I8" s="9"/>
      <c r="J8" s="9"/>
    </row>
    <row r="9" spans="1:10" x14ac:dyDescent="0.25">
      <c r="A9" s="1">
        <v>4</v>
      </c>
      <c r="B9" s="8" t="s">
        <v>62</v>
      </c>
      <c r="C9" s="9" t="s">
        <v>10</v>
      </c>
      <c r="D9" s="8" t="s">
        <v>11</v>
      </c>
      <c r="E9" s="4" t="s">
        <v>14</v>
      </c>
      <c r="F9" s="2" t="str">
        <f>VLOOKUP(Tabela1[[#This Row],[ID_MASSA]],Tabela15[[ID_MASSA]:[SENHA]],4,FALSE)</f>
        <v>admin@test.com</v>
      </c>
      <c r="G9" s="10" t="str">
        <f>VLOOKUP(Tabela1[[#This Row],[ID_MASSA]],Tabela15[[ID_MASSA]:[SENHA]],5,FALSE)</f>
        <v>admin999</v>
      </c>
      <c r="H9" s="17">
        <f>VLOOKUP(Tabela1[[#This Row],[ID_MASSA]],Tabela15[[#All],[ID_MASSA]:[ID_ARTIGO]],3,FALSE)</f>
        <v>99999999999</v>
      </c>
      <c r="I9" s="9"/>
      <c r="J9" s="9"/>
    </row>
    <row r="10" spans="1:10" x14ac:dyDescent="0.25">
      <c r="A10" s="1">
        <v>5</v>
      </c>
      <c r="B10" s="8" t="s">
        <v>64</v>
      </c>
      <c r="E10" s="4" t="s">
        <v>16</v>
      </c>
      <c r="F10" s="2" t="str">
        <f>VLOOKUP(Tabela1[[#This Row],[ID_MASSA]],Tabela15[[ID_MASSA]:[SENHA]],4,FALSE)</f>
        <v>teste@test.com</v>
      </c>
      <c r="G10" s="2" t="str">
        <f>VLOOKUP(Tabela1[[#This Row],[ID_MASSA]],Tabela15[[ID_MASSA]:[SENHA]],5,FALSE)</f>
        <v>admin999</v>
      </c>
      <c r="H10" s="3">
        <f>VLOOKUP(Tabela1[[#This Row],[ID_MASSA]],Tabela15[[#All],[ID_MASSA]:[ID_ARTIGO]],3,FALSE)</f>
        <v>22222222222</v>
      </c>
    </row>
    <row r="11" spans="1:10" x14ac:dyDescent="0.25">
      <c r="A11" s="1">
        <v>6</v>
      </c>
      <c r="B11" s="8" t="s">
        <v>65</v>
      </c>
      <c r="E11" s="4" t="s">
        <v>16</v>
      </c>
      <c r="F11" s="2" t="str">
        <f>VLOOKUP(Tabela1[[#This Row],[ID_MASSA]],Tabela15[[ID_MASSA]:[SENHA]],4,FALSE)</f>
        <v>teste@test.com</v>
      </c>
      <c r="G11" s="2" t="str">
        <f>VLOOKUP(Tabela1[[#This Row],[ID_MASSA]],Tabela15[[ID_MASSA]:[SENHA]],5,FALSE)</f>
        <v>admin999</v>
      </c>
      <c r="H11" s="3">
        <f>VLOOKUP(Tabela1[[#This Row],[ID_MASSA]],Tabela15[[#All],[ID_MASSA]:[ID_ARTIGO]],3,FALSE)</f>
        <v>22222222222</v>
      </c>
    </row>
    <row r="12" spans="1:10" x14ac:dyDescent="0.25">
      <c r="A12" s="1">
        <v>7</v>
      </c>
      <c r="B12" s="8" t="s">
        <v>66</v>
      </c>
      <c r="E12" s="4" t="s">
        <v>16</v>
      </c>
      <c r="F12" s="2" t="str">
        <f>VLOOKUP(Tabela1[[#This Row],[ID_MASSA]],Tabela15[[ID_MASSA]:[SENHA]],4,FALSE)</f>
        <v>teste@test.com</v>
      </c>
      <c r="G12" s="2" t="str">
        <f>VLOOKUP(Tabela1[[#This Row],[ID_MASSA]],Tabela15[[ID_MASSA]:[SENHA]],5,FALSE)</f>
        <v>admin999</v>
      </c>
      <c r="H12" s="3">
        <f>VLOOKUP(Tabela1[[#This Row],[ID_MASSA]],Tabela15[[#All],[ID_MASSA]:[ID_ARTIGO]],3,FALSE)</f>
        <v>22222222222</v>
      </c>
    </row>
    <row r="13" spans="1:10" x14ac:dyDescent="0.25">
      <c r="A13" s="1">
        <v>8</v>
      </c>
      <c r="B13" s="8" t="s">
        <v>67</v>
      </c>
      <c r="E13" s="4" t="s">
        <v>16</v>
      </c>
      <c r="F13" s="2" t="str">
        <f>VLOOKUP(Tabela1[[#This Row],[ID_MASSA]],Tabela15[[ID_MASSA]:[SENHA]],4,FALSE)</f>
        <v>teste@test.com</v>
      </c>
      <c r="G13" s="2" t="str">
        <f>VLOOKUP(Tabela1[[#This Row],[ID_MASSA]],Tabela15[[ID_MASSA]:[SENHA]],5,FALSE)</f>
        <v>admin999</v>
      </c>
      <c r="H13" s="3">
        <f>VLOOKUP(Tabela1[[#This Row],[ID_MASSA]],Tabela15[[#All],[ID_MASSA]:[ID_ARTIGO]],3,FALSE)</f>
        <v>22222222222</v>
      </c>
    </row>
    <row r="14" spans="1:10" x14ac:dyDescent="0.25">
      <c r="A14" s="1">
        <v>9</v>
      </c>
      <c r="B14" s="8" t="s">
        <v>68</v>
      </c>
      <c r="E14" s="4" t="s">
        <v>16</v>
      </c>
      <c r="F14" s="2" t="str">
        <f>VLOOKUP(Tabela1[[#This Row],[ID_MASSA]],Tabela15[[ID_MASSA]:[SENHA]],4,FALSE)</f>
        <v>teste@test.com</v>
      </c>
      <c r="G14" s="2" t="str">
        <f>VLOOKUP(Tabela1[[#This Row],[ID_MASSA]],Tabela15[[ID_MASSA]:[SENHA]],5,FALSE)</f>
        <v>admin999</v>
      </c>
      <c r="H14" s="3">
        <f>VLOOKUP(Tabela1[[#This Row],[ID_MASSA]],Tabela15[[#All],[ID_MASSA]:[ID_ARTIGO]],3,FALSE)</f>
        <v>22222222222</v>
      </c>
    </row>
    <row r="15" spans="1:10" x14ac:dyDescent="0.25">
      <c r="A15" s="1">
        <v>10</v>
      </c>
      <c r="B15" s="8" t="s">
        <v>69</v>
      </c>
      <c r="E15" s="4" t="s">
        <v>16</v>
      </c>
      <c r="F15" s="2" t="str">
        <f>VLOOKUP(Tabela1[[#This Row],[ID_MASSA]],Tabela15[[ID_MASSA]:[SENHA]],4,FALSE)</f>
        <v>teste@test.com</v>
      </c>
      <c r="G15" s="2" t="str">
        <f>VLOOKUP(Tabela1[[#This Row],[ID_MASSA]],Tabela15[[ID_MASSA]:[SENHA]],5,FALSE)</f>
        <v>admin999</v>
      </c>
      <c r="H15" s="3">
        <f>VLOOKUP(Tabela1[[#This Row],[ID_MASSA]],Tabela15[[#All],[ID_MASSA]:[ID_ARTIGO]],3,FALSE)</f>
        <v>22222222222</v>
      </c>
    </row>
    <row r="16" spans="1:10" x14ac:dyDescent="0.25">
      <c r="A16" s="1">
        <v>11</v>
      </c>
      <c r="B16" s="8" t="s">
        <v>76</v>
      </c>
      <c r="E16" s="4" t="s">
        <v>16</v>
      </c>
      <c r="F16" s="2" t="str">
        <f>VLOOKUP(Tabela1[[#This Row],[ID_MASSA]],Tabela15[[ID_MASSA]:[SENHA]],4,FALSE)</f>
        <v>teste@test.com</v>
      </c>
      <c r="G16" s="2" t="str">
        <f>VLOOKUP(Tabela1[[#This Row],[ID_MASSA]],Tabela15[[ID_MASSA]:[SENHA]],5,FALSE)</f>
        <v>admin999</v>
      </c>
      <c r="H16" s="3">
        <f>VLOOKUP(Tabela1[[#This Row],[ID_MASSA]],Tabela15[[#All],[ID_MASSA]:[ID_ARTIGO]],3,FALSE)</f>
        <v>22222222222</v>
      </c>
    </row>
    <row r="17" spans="1:8" x14ac:dyDescent="0.25">
      <c r="A17" s="1">
        <v>12</v>
      </c>
      <c r="B17" s="1" t="s">
        <v>71</v>
      </c>
      <c r="E17" s="4" t="s">
        <v>14</v>
      </c>
      <c r="F17" s="2" t="str">
        <f>VLOOKUP(Tabela1[[#This Row],[ID_MASSA]],Tabela15[[ID_MASSA]:[SENHA]],4,FALSE)</f>
        <v>admin@test.com</v>
      </c>
      <c r="G17" s="2" t="str">
        <f>VLOOKUP(Tabela1[[#This Row],[ID_MASSA]],Tabela15[[ID_MASSA]:[SENHA]],5,FALSE)</f>
        <v>admin999</v>
      </c>
      <c r="H17" s="3">
        <f>VLOOKUP(Tabela1[[#This Row],[ID_MASSA]],Tabela15[[#All],[ID_MASSA]:[ID_ARTIGO]],3,FALSE)</f>
        <v>99999999999</v>
      </c>
    </row>
    <row r="18" spans="1:8" x14ac:dyDescent="0.25">
      <c r="A18" s="1">
        <v>13</v>
      </c>
      <c r="B18" s="1" t="s">
        <v>72</v>
      </c>
      <c r="E18" s="4" t="s">
        <v>14</v>
      </c>
      <c r="F18" s="2" t="str">
        <f>VLOOKUP(Tabela1[[#This Row],[ID_MASSA]],Tabela15[[ID_MASSA]:[SENHA]],4,FALSE)</f>
        <v>admin@test.com</v>
      </c>
      <c r="G18" s="2" t="str">
        <f>VLOOKUP(Tabela1[[#This Row],[ID_MASSA]],Tabela15[[ID_MASSA]:[SENHA]],5,FALSE)</f>
        <v>admin999</v>
      </c>
      <c r="H18" s="3">
        <f>VLOOKUP(Tabela1[[#This Row],[ID_MASSA]],Tabela15[[#All],[ID_MASSA]:[ID_ARTIGO]],3,FALSE)</f>
        <v>99999999999</v>
      </c>
    </row>
    <row r="19" spans="1:8" x14ac:dyDescent="0.25">
      <c r="A19" s="1">
        <v>14</v>
      </c>
      <c r="B19" s="1" t="s">
        <v>73</v>
      </c>
      <c r="E19" s="4" t="s">
        <v>14</v>
      </c>
      <c r="F19" s="2" t="str">
        <f>VLOOKUP(Tabela1[[#This Row],[ID_MASSA]],Tabela15[[ID_MASSA]:[SENHA]],4,FALSE)</f>
        <v>admin@test.com</v>
      </c>
      <c r="G19" s="2" t="str">
        <f>VLOOKUP(Tabela1[[#This Row],[ID_MASSA]],Tabela15[[ID_MASSA]:[SENHA]],5,FALSE)</f>
        <v>admin999</v>
      </c>
      <c r="H19" s="3">
        <f>VLOOKUP(Tabela1[[#This Row],[ID_MASSA]],Tabela15[[#All],[ID_MASSA]:[ID_ARTIGO]],3,FALSE)</f>
        <v>99999999999</v>
      </c>
    </row>
    <row r="20" spans="1:8" x14ac:dyDescent="0.25">
      <c r="A20" s="1">
        <v>15</v>
      </c>
      <c r="B20" s="1" t="s">
        <v>74</v>
      </c>
      <c r="E20" s="4" t="s">
        <v>14</v>
      </c>
      <c r="F20" s="2" t="str">
        <f>VLOOKUP(Tabela1[[#This Row],[ID_MASSA]],Tabela15[[ID_MASSA]:[SENHA]],4,FALSE)</f>
        <v>admin@test.com</v>
      </c>
      <c r="G20" s="2" t="str">
        <f>VLOOKUP(Tabela1[[#This Row],[ID_MASSA]],Tabela15[[ID_MASSA]:[SENHA]],5,FALSE)</f>
        <v>admin999</v>
      </c>
      <c r="H20" s="3">
        <f>VLOOKUP(Tabela1[[#This Row],[ID_MASSA]],Tabela15[[#All],[ID_MASSA]:[ID_ARTIGO]],3,FALSE)</f>
        <v>99999999999</v>
      </c>
    </row>
    <row r="21" spans="1:8" x14ac:dyDescent="0.25">
      <c r="A21" s="1">
        <v>16</v>
      </c>
      <c r="B21" s="1" t="s">
        <v>77</v>
      </c>
      <c r="E21" s="4" t="s">
        <v>14</v>
      </c>
      <c r="F21" s="2" t="str">
        <f>VLOOKUP(Tabela1[[#This Row],[ID_MASSA]],Tabela15[[ID_MASSA]:[SENHA]],4,FALSE)</f>
        <v>admin@test.com</v>
      </c>
      <c r="G21" s="2" t="str">
        <f>VLOOKUP(Tabela1[[#This Row],[ID_MASSA]],Tabela15[[ID_MASSA]:[SENHA]],5,FALSE)</f>
        <v>admin999</v>
      </c>
      <c r="H21" s="3">
        <f>VLOOKUP(Tabela1[[#This Row],[ID_MASSA]],Tabela15[[#All],[ID_MASSA]:[ID_ARTIGO]],3,FALSE)</f>
        <v>99999999999</v>
      </c>
    </row>
    <row r="22" spans="1:8" x14ac:dyDescent="0.25">
      <c r="A22" s="1">
        <v>17</v>
      </c>
      <c r="B22" s="1" t="s">
        <v>78</v>
      </c>
      <c r="E22" s="4" t="s">
        <v>16</v>
      </c>
      <c r="F22" s="2" t="str">
        <f>VLOOKUP(Tabela1[[#This Row],[ID_MASSA]],Tabela15[[ID_MASSA]:[SENHA]],4,FALSE)</f>
        <v>teste@test.com</v>
      </c>
      <c r="G22" s="2" t="str">
        <f>VLOOKUP(Tabela1[[#This Row],[ID_MASSA]],Tabela15[[ID_MASSA]:[SENHA]],5,FALSE)</f>
        <v>admin999</v>
      </c>
      <c r="H22" s="3">
        <f>VLOOKUP(Tabela1[[#This Row],[ID_MASSA]],Tabela15[[#All],[ID_MASSA]:[ID_ARTIGO]],3,FALSE)</f>
        <v>22222222222</v>
      </c>
    </row>
    <row r="23" spans="1:8" x14ac:dyDescent="0.25">
      <c r="A23" s="1">
        <v>18</v>
      </c>
      <c r="B23" s="1" t="s">
        <v>79</v>
      </c>
      <c r="E23" s="4" t="s">
        <v>16</v>
      </c>
      <c r="F23" s="2" t="str">
        <f>VLOOKUP(Tabela1[[#This Row],[ID_MASSA]],Tabela15[[ID_MASSA]:[SENHA]],4,FALSE)</f>
        <v>teste@test.com</v>
      </c>
      <c r="G23" s="2" t="str">
        <f>VLOOKUP(Tabela1[[#This Row],[ID_MASSA]],Tabela15[[ID_MASSA]:[SENHA]],5,FALSE)</f>
        <v>admin999</v>
      </c>
      <c r="H23" s="3">
        <f>VLOOKUP(Tabela1[[#This Row],[ID_MASSA]],Tabela15[[#All],[ID_MASSA]:[ID_ARTIGO]],3,FALSE)</f>
        <v>22222222222</v>
      </c>
    </row>
    <row r="24" spans="1:8" x14ac:dyDescent="0.25">
      <c r="A24" s="1">
        <v>19</v>
      </c>
      <c r="B24" s="1" t="s">
        <v>80</v>
      </c>
      <c r="E24" s="4" t="s">
        <v>16</v>
      </c>
      <c r="F24" s="2" t="str">
        <f>VLOOKUP(Tabela1[[#This Row],[ID_MASSA]],Tabela15[[ID_MASSA]:[SENHA]],4,FALSE)</f>
        <v>teste@test.com</v>
      </c>
      <c r="G24" s="2" t="str">
        <f>VLOOKUP(Tabela1[[#This Row],[ID_MASSA]],Tabela15[[ID_MASSA]:[SENHA]],5,FALSE)</f>
        <v>admin999</v>
      </c>
      <c r="H24" s="3">
        <f>VLOOKUP(Tabela1[[#This Row],[ID_MASSA]],Tabela15[[#All],[ID_MASSA]:[ID_ARTIGO]],3,FALSE)</f>
        <v>22222222222</v>
      </c>
    </row>
    <row r="25" spans="1:8" x14ac:dyDescent="0.25">
      <c r="A25" s="1">
        <v>20</v>
      </c>
      <c r="B25" s="1" t="s">
        <v>81</v>
      </c>
      <c r="E25" s="4" t="s">
        <v>16</v>
      </c>
      <c r="F25" s="2" t="str">
        <f>VLOOKUP(Tabela1[[#This Row],[ID_MASSA]],Tabela15[[ID_MASSA]:[SENHA]],4,FALSE)</f>
        <v>teste@test.com</v>
      </c>
      <c r="G25" s="2" t="str">
        <f>VLOOKUP(Tabela1[[#This Row],[ID_MASSA]],Tabela15[[ID_MASSA]:[SENHA]],5,FALSE)</f>
        <v>admin999</v>
      </c>
      <c r="H25" s="3">
        <f>VLOOKUP(Tabela1[[#This Row],[ID_MASSA]],Tabela15[[#All],[ID_MASSA]:[ID_ARTIGO]],3,FALSE)</f>
        <v>22222222222</v>
      </c>
    </row>
    <row r="26" spans="1:8" x14ac:dyDescent="0.25">
      <c r="A26" s="1">
        <v>21</v>
      </c>
      <c r="B26" s="1" t="s">
        <v>82</v>
      </c>
      <c r="E26" s="4" t="s">
        <v>16</v>
      </c>
      <c r="F26" s="2" t="str">
        <f>VLOOKUP(Tabela1[[#This Row],[ID_MASSA]],Tabela15[[ID_MASSA]:[SENHA]],4,FALSE)</f>
        <v>teste@test.com</v>
      </c>
      <c r="G26" s="2" t="str">
        <f>VLOOKUP(Tabela1[[#This Row],[ID_MASSA]],Tabela15[[ID_MASSA]:[SENHA]],5,FALSE)</f>
        <v>admin999</v>
      </c>
      <c r="H26" s="3">
        <f>VLOOKUP(Tabela1[[#This Row],[ID_MASSA]],Tabela15[[#All],[ID_MASSA]:[ID_ARTIGO]],3,FALSE)</f>
        <v>22222222222</v>
      </c>
    </row>
    <row r="27" spans="1:8" x14ac:dyDescent="0.25">
      <c r="A27" s="1">
        <v>22</v>
      </c>
      <c r="B27" s="1" t="s">
        <v>83</v>
      </c>
      <c r="E27" s="4" t="s">
        <v>16</v>
      </c>
      <c r="F27" s="2" t="str">
        <f>VLOOKUP(Tabela1[[#This Row],[ID_MASSA]],Tabela15[[ID_MASSA]:[SENHA]],4,FALSE)</f>
        <v>teste@test.com</v>
      </c>
      <c r="G27" s="2" t="str">
        <f>VLOOKUP(Tabela1[[#This Row],[ID_MASSA]],Tabela15[[ID_MASSA]:[SENHA]],5,FALSE)</f>
        <v>admin999</v>
      </c>
      <c r="H27" s="3">
        <f>VLOOKUP(Tabela1[[#This Row],[ID_MASSA]],Tabela15[[#All],[ID_MASSA]:[ID_ARTIGO]],3,FALSE)</f>
        <v>22222222222</v>
      </c>
    </row>
    <row r="28" spans="1:8" x14ac:dyDescent="0.25">
      <c r="A28" s="1">
        <v>23</v>
      </c>
      <c r="B28" s="1" t="s">
        <v>84</v>
      </c>
      <c r="E28" s="4" t="s">
        <v>16</v>
      </c>
      <c r="F28" s="2" t="str">
        <f>VLOOKUP(Tabela1[[#This Row],[ID_MASSA]],Tabela15[[ID_MASSA]:[SENHA]],4,FALSE)</f>
        <v>teste@test.com</v>
      </c>
      <c r="G28" s="2" t="str">
        <f>VLOOKUP(Tabela1[[#This Row],[ID_MASSA]],Tabela15[[ID_MASSA]:[SENHA]],5,FALSE)</f>
        <v>admin999</v>
      </c>
      <c r="H28" s="3">
        <f>VLOOKUP(Tabela1[[#This Row],[ID_MASSA]],Tabela15[[#All],[ID_MASSA]:[ID_ARTIGO]],3,FALSE)</f>
        <v>22222222222</v>
      </c>
    </row>
    <row r="29" spans="1:8" x14ac:dyDescent="0.25">
      <c r="A29" s="1">
        <v>24</v>
      </c>
      <c r="B29" s="1" t="s">
        <v>85</v>
      </c>
      <c r="E29" s="4" t="s">
        <v>16</v>
      </c>
      <c r="F29" s="2" t="str">
        <f>VLOOKUP(Tabela1[[#This Row],[ID_MASSA]],Tabela15[[ID_MASSA]:[SENHA]],4,FALSE)</f>
        <v>teste@test.com</v>
      </c>
      <c r="G29" s="2" t="str">
        <f>VLOOKUP(Tabela1[[#This Row],[ID_MASSA]],Tabela15[[ID_MASSA]:[SENHA]],5,FALSE)</f>
        <v>admin999</v>
      </c>
      <c r="H29" s="3">
        <f>VLOOKUP(Tabela1[[#This Row],[ID_MASSA]],Tabela15[[#All],[ID_MASSA]:[ID_ARTIGO]],3,FALSE)</f>
        <v>22222222222</v>
      </c>
    </row>
    <row r="30" spans="1:8" x14ac:dyDescent="0.25">
      <c r="A30" s="1">
        <v>25</v>
      </c>
      <c r="B30" s="1" t="s">
        <v>86</v>
      </c>
      <c r="E30" s="4" t="s">
        <v>16</v>
      </c>
      <c r="F30" s="2" t="str">
        <f>VLOOKUP(Tabela1[[#This Row],[ID_MASSA]],Tabela15[[ID_MASSA]:[SENHA]],4,FALSE)</f>
        <v>teste@test.com</v>
      </c>
      <c r="G30" s="2" t="str">
        <f>VLOOKUP(Tabela1[[#This Row],[ID_MASSA]],Tabela15[[ID_MASSA]:[SENHA]],5,FALSE)</f>
        <v>admin999</v>
      </c>
      <c r="H30" s="3">
        <f>VLOOKUP(Tabela1[[#This Row],[ID_MASSA]],Tabela15[[#All],[ID_MASSA]:[ID_ARTIGO]],3,FALSE)</f>
        <v>22222222222</v>
      </c>
    </row>
    <row r="31" spans="1:8" x14ac:dyDescent="0.25">
      <c r="A31" s="1">
        <v>26</v>
      </c>
      <c r="B31" s="1" t="s">
        <v>87</v>
      </c>
      <c r="E31" s="4" t="s">
        <v>16</v>
      </c>
      <c r="F31" s="2" t="str">
        <f>VLOOKUP(Tabela1[[#This Row],[ID_MASSA]],Tabela15[[ID_MASSA]:[SENHA]],4,FALSE)</f>
        <v>teste@test.com</v>
      </c>
      <c r="G31" s="2" t="str">
        <f>VLOOKUP(Tabela1[[#This Row],[ID_MASSA]],Tabela15[[ID_MASSA]:[SENHA]],5,FALSE)</f>
        <v>admin999</v>
      </c>
      <c r="H31" s="3">
        <f>VLOOKUP(Tabela1[[#This Row],[ID_MASSA]],Tabela15[[#All],[ID_MASSA]:[ID_ARTIGO]],3,FALSE)</f>
        <v>22222222222</v>
      </c>
    </row>
    <row r="32" spans="1:8" x14ac:dyDescent="0.25">
      <c r="A32" s="1">
        <v>27</v>
      </c>
      <c r="B32" s="1" t="s">
        <v>88</v>
      </c>
      <c r="E32" s="4" t="s">
        <v>16</v>
      </c>
      <c r="F32" s="2" t="str">
        <f>VLOOKUP(Tabela1[[#This Row],[ID_MASSA]],Tabela15[[ID_MASSA]:[SENHA]],4,FALSE)</f>
        <v>teste@test.com</v>
      </c>
      <c r="G32" s="2" t="str">
        <f>VLOOKUP(Tabela1[[#This Row],[ID_MASSA]],Tabela15[[ID_MASSA]:[SENHA]],5,FALSE)</f>
        <v>admin999</v>
      </c>
      <c r="H32" s="3">
        <f>VLOOKUP(Tabela1[[#This Row],[ID_MASSA]],Tabela15[[#All],[ID_MASSA]:[ID_ARTIGO]],3,FALSE)</f>
        <v>22222222222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E9FD-68D5-4E43-8196-C7334FA814AB}">
  <dimension ref="A1:H6"/>
  <sheetViews>
    <sheetView zoomScale="160" zoomScaleNormal="160" workbookViewId="0">
      <selection activeCell="D6" sqref="D6"/>
    </sheetView>
  </sheetViews>
  <sheetFormatPr defaultRowHeight="15" x14ac:dyDescent="0.25"/>
  <cols>
    <col min="1" max="1" width="10.85546875" style="7" customWidth="1"/>
    <col min="2" max="2" width="16.85546875" customWidth="1"/>
    <col min="3" max="3" width="13" style="2" customWidth="1"/>
    <col min="4" max="4" width="20.140625" style="3" bestFit="1" customWidth="1"/>
    <col min="5" max="5" width="10" style="3" customWidth="1"/>
    <col min="6" max="6" width="38.140625" style="11" bestFit="1" customWidth="1"/>
    <col min="7" max="7" width="35.5703125" style="2" bestFit="1" customWidth="1"/>
    <col min="8" max="8" width="37.7109375" bestFit="1" customWidth="1"/>
    <col min="9" max="9" width="12" customWidth="1"/>
  </cols>
  <sheetData>
    <row r="1" spans="1:8" s="6" customFormat="1" ht="42.75" customHeight="1" x14ac:dyDescent="0.25">
      <c r="A1" s="5" t="s">
        <v>18</v>
      </c>
      <c r="B1" s="6" t="s">
        <v>12</v>
      </c>
      <c r="C1" s="6" t="s">
        <v>25</v>
      </c>
      <c r="D1" s="6" t="s">
        <v>13</v>
      </c>
      <c r="E1" s="6" t="s">
        <v>1</v>
      </c>
      <c r="F1" s="6" t="s">
        <v>5</v>
      </c>
      <c r="G1" s="6" t="s">
        <v>27</v>
      </c>
      <c r="H1" s="6" t="s">
        <v>28</v>
      </c>
    </row>
    <row r="2" spans="1:8" x14ac:dyDescent="0.25">
      <c r="A2" s="12" t="s">
        <v>14</v>
      </c>
      <c r="B2" s="2" t="str">
        <f>TBL_MASSA_CADASTRADA!C2</f>
        <v>admin</v>
      </c>
      <c r="C2" s="2">
        <f>TBL_MASSA_CADASTRADA!H2</f>
        <v>99999999999</v>
      </c>
      <c r="D2" s="2" t="str">
        <f>TBL_MASSA_CADASTRADA!E2</f>
        <v>admin@test.com</v>
      </c>
      <c r="E2" s="2" t="str">
        <f>TBL_MASSA_CADASTRADA!F2</f>
        <v>admin999</v>
      </c>
      <c r="F2" s="2" t="e">
        <f>TBL_MASSA_CADASTRADA!#REF!</f>
        <v>#REF!</v>
      </c>
      <c r="G2" s="2" t="e">
        <f>TBL_MASSA_CADASTRADA!#REF!</f>
        <v>#REF!</v>
      </c>
      <c r="H2" s="2" t="e">
        <f>TBL_MASSA_CADASTRADA!#REF!</f>
        <v>#REF!</v>
      </c>
    </row>
    <row r="3" spans="1:8" x14ac:dyDescent="0.25">
      <c r="A3" s="7" t="s">
        <v>15</v>
      </c>
      <c r="B3" s="2" t="str">
        <f>TBL_MASSA_CADASTRADA!C3</f>
        <v>Gilvan Sousa</v>
      </c>
      <c r="C3" s="2">
        <f>TBL_MASSA_CADASTRADA!H3</f>
        <v>11111111111</v>
      </c>
      <c r="D3" s="2" t="str">
        <f>TBL_MASSA_CADASTRADA!E3</f>
        <v>gilvan@example.com</v>
      </c>
      <c r="E3" s="2" t="str">
        <f>TBL_MASSA_CADASTRADA!F3</f>
        <v>admin999</v>
      </c>
      <c r="F3" s="2" t="e">
        <f>TBL_MASSA_CADASTRADA!#REF!</f>
        <v>#REF!</v>
      </c>
      <c r="G3" s="2" t="e">
        <f>TBL_MASSA_CADASTRADA!#REF!</f>
        <v>#REF!</v>
      </c>
      <c r="H3" s="2" t="e">
        <f>TBL_MASSA_CADASTRADA!#REF!</f>
        <v>#REF!</v>
      </c>
    </row>
    <row r="4" spans="1:8" x14ac:dyDescent="0.25">
      <c r="A4" s="7" t="s">
        <v>16</v>
      </c>
      <c r="B4" s="2" t="str">
        <f>TBL_MASSA_CADASTRADA!C4</f>
        <v>Usuario Teste</v>
      </c>
      <c r="C4" s="2">
        <f>TBL_MASSA_CADASTRADA!H4</f>
        <v>22222222222</v>
      </c>
      <c r="D4" s="2" t="str">
        <f>TBL_MASSA_CADASTRADA!E4</f>
        <v>teste@test.com</v>
      </c>
      <c r="E4" s="2" t="str">
        <f>TBL_MASSA_CADASTRADA!F4</f>
        <v>admin999</v>
      </c>
      <c r="F4" s="2" t="e">
        <f>TBL_MASSA_CADASTRADA!#REF!</f>
        <v>#REF!</v>
      </c>
      <c r="G4" s="2" t="e">
        <f>TBL_MASSA_CADASTRADA!#REF!</f>
        <v>#REF!</v>
      </c>
      <c r="H4" s="2" t="e">
        <f>TBL_MASSA_CADASTRADA!#REF!</f>
        <v>#REF!</v>
      </c>
    </row>
    <row r="5" spans="1:8" x14ac:dyDescent="0.25">
      <c r="A5" s="7" t="s">
        <v>17</v>
      </c>
      <c r="B5" s="2" t="str">
        <f>TBL_MASSA_CADASTRADA!C5</f>
        <v>Sheila Sousa</v>
      </c>
      <c r="C5" s="2">
        <f>TBL_MASSA_CADASTRADA!H5</f>
        <v>33333333333</v>
      </c>
      <c r="D5" s="2" t="str">
        <f>TBL_MASSA_CADASTRADA!E5</f>
        <v>sheila@test.com</v>
      </c>
      <c r="E5" s="2" t="str">
        <f>TBL_MASSA_CADASTRADA!F5</f>
        <v>admin999</v>
      </c>
      <c r="F5" s="2" t="e">
        <f>TBL_MASSA_CADASTRADA!#REF!</f>
        <v>#REF!</v>
      </c>
      <c r="G5" s="2" t="e">
        <f>TBL_MASSA_CADASTRADA!#REF!</f>
        <v>#REF!</v>
      </c>
      <c r="H5" s="2" t="e">
        <f>TBL_MASSA_CADASTRADA!#REF!</f>
        <v>#REF!</v>
      </c>
    </row>
    <row r="6" spans="1:8" x14ac:dyDescent="0.25">
      <c r="A6" s="7" t="s">
        <v>57</v>
      </c>
      <c r="B6" s="2" t="s">
        <v>58</v>
      </c>
      <c r="C6" s="2">
        <v>55555555555</v>
      </c>
      <c r="D6" s="2" t="s">
        <v>59</v>
      </c>
      <c r="E6" s="3" t="s">
        <v>31</v>
      </c>
      <c r="H6" s="2"/>
    </row>
  </sheetData>
  <phoneticPr fontId="1" type="noConversion"/>
  <conditionalFormatting sqref="A2:A6">
    <cfRule type="duplicateValues" dxfId="4" priority="230"/>
  </conditionalFormatting>
  <conditionalFormatting sqref="B2:H6">
    <cfRule type="duplicateValues" dxfId="3" priority="228"/>
  </conditionalFormatting>
  <hyperlinks>
    <hyperlink ref="D6" r:id="rId1" xr:uid="{8EBBABF9-330A-445D-8727-85DDE863AC97}"/>
  </hyperlinks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979F1-A0A4-426A-9D4F-F2CB34BB690D}">
  <dimension ref="A1:I29"/>
  <sheetViews>
    <sheetView zoomScale="130" zoomScaleNormal="130" workbookViewId="0">
      <selection activeCell="D16" sqref="D16"/>
    </sheetView>
  </sheetViews>
  <sheetFormatPr defaultRowHeight="15" x14ac:dyDescent="0.25"/>
  <cols>
    <col min="1" max="1" width="13.5703125" style="1" customWidth="1"/>
    <col min="2" max="2" width="45.42578125" bestFit="1" customWidth="1"/>
    <col min="3" max="3" width="11.28515625" style="1" bestFit="1" customWidth="1"/>
    <col min="4" max="4" width="9.7109375" style="4" customWidth="1"/>
    <col min="5" max="5" width="14.42578125" customWidth="1"/>
    <col min="6" max="6" width="15.85546875" style="2" bestFit="1" customWidth="1"/>
    <col min="7" max="7" width="9.85546875" style="2" customWidth="1"/>
    <col min="8" max="8" width="18.140625" bestFit="1" customWidth="1"/>
    <col min="9" max="9" width="12.140625" bestFit="1" customWidth="1"/>
    <col min="10" max="10" width="9.85546875" bestFit="1" customWidth="1"/>
  </cols>
  <sheetData>
    <row r="1" spans="1:9" s="3" customFormat="1" ht="42.75" customHeight="1" x14ac:dyDescent="0.25">
      <c r="A1" s="3" t="s">
        <v>3</v>
      </c>
      <c r="B1" s="3" t="s">
        <v>4</v>
      </c>
      <c r="C1" s="3" t="s">
        <v>0</v>
      </c>
      <c r="D1" s="4" t="s">
        <v>18</v>
      </c>
      <c r="E1" s="3" t="s">
        <v>25</v>
      </c>
      <c r="F1" s="3" t="s">
        <v>13</v>
      </c>
      <c r="G1" s="3" t="s">
        <v>1</v>
      </c>
      <c r="H1" s="3" t="s">
        <v>6</v>
      </c>
      <c r="I1" s="3" t="s">
        <v>7</v>
      </c>
    </row>
    <row r="2" spans="1:9" x14ac:dyDescent="0.25">
      <c r="A2" s="8" t="s">
        <v>60</v>
      </c>
      <c r="B2" s="9" t="s">
        <v>19</v>
      </c>
      <c r="C2" s="8" t="s">
        <v>11</v>
      </c>
      <c r="D2" s="4" t="s">
        <v>16</v>
      </c>
      <c r="E2" s="10">
        <f>VLOOKUP(Tabela14[[#This Row],[ID_MASSA]],Tabela15[],3,FALSE)</f>
        <v>22222222222</v>
      </c>
      <c r="F2" s="2" t="str">
        <f>VLOOKUP(Tabela14[[#This Row],[ID_MASSA]],Tabela15[[ID_MASSA]:[SENHA]],4,FALSE)</f>
        <v>teste@test.com</v>
      </c>
      <c r="G2" s="10" t="str">
        <f>VLOOKUP(Tabela14[[#This Row],[ID_MASSA]],Tabela15[[ID_MASSA]:[SENHA]],5,FALSE)</f>
        <v>admin999</v>
      </c>
      <c r="H2" s="9"/>
      <c r="I2" s="9"/>
    </row>
    <row r="3" spans="1:9" x14ac:dyDescent="0.25">
      <c r="A3" s="8" t="s">
        <v>61</v>
      </c>
      <c r="B3" s="9" t="s">
        <v>8</v>
      </c>
      <c r="C3" s="8" t="s">
        <v>11</v>
      </c>
      <c r="D3" s="4" t="s">
        <v>16</v>
      </c>
      <c r="E3" s="10">
        <f>VLOOKUP(Tabela14[[#This Row],[ID_MASSA]],Tabela15[],3,FALSE)</f>
        <v>22222222222</v>
      </c>
      <c r="F3" s="2" t="str">
        <f>VLOOKUP(Tabela14[[#This Row],[ID_MASSA]],Tabela15[[ID_MASSA]:[SENHA]],4,FALSE)</f>
        <v>teste@test.com</v>
      </c>
      <c r="G3" s="10" t="str">
        <f>VLOOKUP(Tabela14[[#This Row],[ID_MASSA]],Tabela15[[ID_MASSA]:[SENHA]],5,FALSE)</f>
        <v>admin999</v>
      </c>
      <c r="H3" s="9"/>
      <c r="I3" s="9"/>
    </row>
    <row r="4" spans="1:9" x14ac:dyDescent="0.25">
      <c r="A4" s="8" t="s">
        <v>62</v>
      </c>
      <c r="B4" s="9" t="s">
        <v>9</v>
      </c>
      <c r="C4" s="8" t="s">
        <v>11</v>
      </c>
      <c r="D4" s="4" t="s">
        <v>16</v>
      </c>
      <c r="E4" s="10">
        <f>VLOOKUP(Tabela14[[#This Row],[ID_MASSA]],Tabela15[],3,FALSE)</f>
        <v>22222222222</v>
      </c>
      <c r="F4" s="2" t="str">
        <f>VLOOKUP(Tabela14[[#This Row],[ID_MASSA]],Tabela15[[ID_MASSA]:[SENHA]],4,FALSE)</f>
        <v>teste@test.com</v>
      </c>
      <c r="G4" s="10" t="str">
        <f>VLOOKUP(Tabela14[[#This Row],[ID_MASSA]],Tabela15[[ID_MASSA]:[SENHA]],5,FALSE)</f>
        <v>admin999</v>
      </c>
      <c r="H4" s="9"/>
      <c r="I4" s="9"/>
    </row>
    <row r="5" spans="1:9" x14ac:dyDescent="0.25">
      <c r="A5" s="8" t="s">
        <v>63</v>
      </c>
      <c r="B5" s="9" t="s">
        <v>10</v>
      </c>
      <c r="C5" s="8" t="s">
        <v>11</v>
      </c>
      <c r="D5" s="4" t="s">
        <v>16</v>
      </c>
      <c r="E5" s="10">
        <f>VLOOKUP(Tabela14[[#This Row],[ID_MASSA]],Tabela15[],3,FALSE)</f>
        <v>22222222222</v>
      </c>
      <c r="F5" s="2" t="str">
        <f>VLOOKUP(Tabela14[[#This Row],[ID_MASSA]],Tabela15[[ID_MASSA]:[SENHA]],4,FALSE)</f>
        <v>teste@test.com</v>
      </c>
      <c r="G5" s="10" t="str">
        <f>VLOOKUP(Tabela14[[#This Row],[ID_MASSA]],Tabela15[[ID_MASSA]:[SENHA]],5,FALSE)</f>
        <v>admin999</v>
      </c>
      <c r="H5" s="9"/>
      <c r="I5" s="9"/>
    </row>
    <row r="6" spans="1:9" x14ac:dyDescent="0.25">
      <c r="A6" s="8" t="s">
        <v>64</v>
      </c>
      <c r="D6" s="4" t="s">
        <v>16</v>
      </c>
      <c r="E6" s="16">
        <f>VLOOKUP(Tabela14[[#This Row],[ID_MASSA]],Tabela15[],3,FALSE)</f>
        <v>22222222222</v>
      </c>
      <c r="F6" s="2" t="str">
        <f>VLOOKUP(Tabela14[[#This Row],[ID_MASSA]],Tabela15[[ID_MASSA]:[SENHA]],4,FALSE)</f>
        <v>teste@test.com</v>
      </c>
      <c r="G6" s="2" t="str">
        <f>VLOOKUP(Tabela14[[#This Row],[ID_MASSA]],Tabela15[[ID_MASSA]:[SENHA]],5,FALSE)</f>
        <v>admin999</v>
      </c>
    </row>
    <row r="7" spans="1:9" x14ac:dyDescent="0.25">
      <c r="A7" s="8" t="s">
        <v>65</v>
      </c>
      <c r="D7" s="4" t="s">
        <v>16</v>
      </c>
      <c r="E7" s="16">
        <f>VLOOKUP(Tabela14[[#This Row],[ID_MASSA]],Tabela15[],3,FALSE)</f>
        <v>22222222222</v>
      </c>
      <c r="F7" s="2" t="str">
        <f>VLOOKUP(Tabela14[[#This Row],[ID_MASSA]],Tabela15[[ID_MASSA]:[SENHA]],4,FALSE)</f>
        <v>teste@test.com</v>
      </c>
      <c r="G7" s="2" t="str">
        <f>VLOOKUP(Tabela14[[#This Row],[ID_MASSA]],Tabela15[[ID_MASSA]:[SENHA]],5,FALSE)</f>
        <v>admin999</v>
      </c>
    </row>
    <row r="8" spans="1:9" x14ac:dyDescent="0.25">
      <c r="A8" s="8" t="s">
        <v>66</v>
      </c>
      <c r="D8" s="4" t="s">
        <v>16</v>
      </c>
      <c r="E8" s="16">
        <f>VLOOKUP(Tabela14[[#This Row],[ID_MASSA]],Tabela15[],3,FALSE)</f>
        <v>22222222222</v>
      </c>
      <c r="F8" s="2" t="str">
        <f>VLOOKUP(Tabela14[[#This Row],[ID_MASSA]],Tabela15[[ID_MASSA]:[SENHA]],4,FALSE)</f>
        <v>teste@test.com</v>
      </c>
      <c r="G8" s="2" t="str">
        <f>VLOOKUP(Tabela14[[#This Row],[ID_MASSA]],Tabela15[[ID_MASSA]:[SENHA]],5,FALSE)</f>
        <v>admin999</v>
      </c>
    </row>
    <row r="9" spans="1:9" x14ac:dyDescent="0.25">
      <c r="A9" s="8" t="s">
        <v>67</v>
      </c>
      <c r="D9" s="4" t="s">
        <v>16</v>
      </c>
      <c r="E9" s="16">
        <f>VLOOKUP(Tabela14[[#This Row],[ID_MASSA]],Tabela15[],3,FALSE)</f>
        <v>22222222222</v>
      </c>
      <c r="F9" s="2" t="str">
        <f>VLOOKUP(Tabela14[[#This Row],[ID_MASSA]],Tabela15[[ID_MASSA]:[SENHA]],4,FALSE)</f>
        <v>teste@test.com</v>
      </c>
      <c r="G9" s="2" t="str">
        <f>VLOOKUP(Tabela14[[#This Row],[ID_MASSA]],Tabela15[[ID_MASSA]:[SENHA]],5,FALSE)</f>
        <v>admin999</v>
      </c>
    </row>
    <row r="10" spans="1:9" x14ac:dyDescent="0.25">
      <c r="A10" s="8" t="s">
        <v>68</v>
      </c>
      <c r="D10" s="4" t="s">
        <v>16</v>
      </c>
      <c r="E10" s="16">
        <f>VLOOKUP(Tabela14[[#This Row],[ID_MASSA]],Tabela15[],3,FALSE)</f>
        <v>22222222222</v>
      </c>
      <c r="F10" s="2" t="str">
        <f>VLOOKUP(Tabela14[[#This Row],[ID_MASSA]],Tabela15[[ID_MASSA]:[SENHA]],4,FALSE)</f>
        <v>teste@test.com</v>
      </c>
      <c r="G10" s="2" t="str">
        <f>VLOOKUP(Tabela14[[#This Row],[ID_MASSA]],Tabela15[[ID_MASSA]:[SENHA]],5,FALSE)</f>
        <v>admin999</v>
      </c>
    </row>
    <row r="11" spans="1:9" x14ac:dyDescent="0.25">
      <c r="A11" s="8" t="s">
        <v>69</v>
      </c>
      <c r="D11" s="4" t="s">
        <v>16</v>
      </c>
      <c r="E11" s="16">
        <f>VLOOKUP(Tabela14[[#This Row],[ID_MASSA]],Tabela15[],3,FALSE)</f>
        <v>22222222222</v>
      </c>
      <c r="F11" s="2" t="str">
        <f>VLOOKUP(Tabela14[[#This Row],[ID_MASSA]],Tabela15[[ID_MASSA]:[SENHA]],4,FALSE)</f>
        <v>teste@test.com</v>
      </c>
      <c r="G11" s="2" t="str">
        <f>VLOOKUP(Tabela14[[#This Row],[ID_MASSA]],Tabela15[[ID_MASSA]:[SENHA]],5,FALSE)</f>
        <v>admin999</v>
      </c>
    </row>
    <row r="12" spans="1:9" x14ac:dyDescent="0.25">
      <c r="A12" s="8" t="s">
        <v>76</v>
      </c>
      <c r="D12" s="4" t="s">
        <v>16</v>
      </c>
      <c r="E12" s="16">
        <f>VLOOKUP(Tabela14[[#This Row],[ID_MASSA]],Tabela15[],3,FALSE)</f>
        <v>22222222222</v>
      </c>
      <c r="F12" s="2" t="str">
        <f>VLOOKUP(Tabela14[[#This Row],[ID_MASSA]],Tabela15[[ID_MASSA]:[SENHA]],4,FALSE)</f>
        <v>teste@test.com</v>
      </c>
      <c r="G12" s="2" t="str">
        <f>VLOOKUP(Tabela14[[#This Row],[ID_MASSA]],Tabela15[[ID_MASSA]:[SENHA]],5,FALSE)</f>
        <v>admin999</v>
      </c>
    </row>
    <row r="13" spans="1:9" x14ac:dyDescent="0.25">
      <c r="A13" s="1" t="s">
        <v>71</v>
      </c>
      <c r="D13" s="4" t="s">
        <v>14</v>
      </c>
      <c r="E13" s="16">
        <f>VLOOKUP(Tabela14[[#This Row],[ID_MASSA]],Tabela15[],3,FALSE)</f>
        <v>99999999999</v>
      </c>
      <c r="F13" s="2" t="str">
        <f>VLOOKUP(Tabela14[[#This Row],[ID_MASSA]],Tabela15[[ID_MASSA]:[SENHA]],4,FALSE)</f>
        <v>admin@test.com</v>
      </c>
      <c r="G13" s="2" t="str">
        <f>VLOOKUP(Tabela14[[#This Row],[ID_MASSA]],Tabela15[[ID_MASSA]:[SENHA]],5,FALSE)</f>
        <v>admin999</v>
      </c>
    </row>
    <row r="14" spans="1:9" x14ac:dyDescent="0.25">
      <c r="A14" s="1" t="s">
        <v>72</v>
      </c>
      <c r="D14" s="4" t="s">
        <v>14</v>
      </c>
      <c r="E14" s="16">
        <f>VLOOKUP(Tabela14[[#This Row],[ID_MASSA]],Tabela15[],3,FALSE)</f>
        <v>99999999999</v>
      </c>
      <c r="F14" s="2" t="str">
        <f>VLOOKUP(Tabela14[[#This Row],[ID_MASSA]],Tabela15[[ID_MASSA]:[SENHA]],4,FALSE)</f>
        <v>admin@test.com</v>
      </c>
      <c r="G14" s="2" t="str">
        <f>VLOOKUP(Tabela14[[#This Row],[ID_MASSA]],Tabela15[[ID_MASSA]:[SENHA]],5,FALSE)</f>
        <v>admin999</v>
      </c>
    </row>
    <row r="15" spans="1:9" x14ac:dyDescent="0.25">
      <c r="A15" s="1" t="s">
        <v>73</v>
      </c>
      <c r="D15" s="4" t="s">
        <v>16</v>
      </c>
      <c r="E15" s="16">
        <f>VLOOKUP(Tabela14[[#This Row],[ID_MASSA]],Tabela15[],3,FALSE)</f>
        <v>22222222222</v>
      </c>
      <c r="F15" s="2" t="str">
        <f>VLOOKUP(Tabela14[[#This Row],[ID_MASSA]],Tabela15[[ID_MASSA]:[SENHA]],4,FALSE)</f>
        <v>teste@test.com</v>
      </c>
      <c r="G15" s="2" t="str">
        <f>VLOOKUP(Tabela14[[#This Row],[ID_MASSA]],Tabela15[[ID_MASSA]:[SENHA]],5,FALSE)</f>
        <v>admin999</v>
      </c>
    </row>
    <row r="16" spans="1:9" x14ac:dyDescent="0.25">
      <c r="A16" s="1" t="s">
        <v>74</v>
      </c>
      <c r="D16" s="4" t="s">
        <v>14</v>
      </c>
      <c r="E16" s="16">
        <f>VLOOKUP(Tabela14[[#This Row],[ID_MASSA]],Tabela15[],3,FALSE)</f>
        <v>99999999999</v>
      </c>
      <c r="F16" s="2" t="str">
        <f>VLOOKUP(Tabela14[[#This Row],[ID_MASSA]],Tabela15[[ID_MASSA]:[SENHA]],4,FALSE)</f>
        <v>admin@test.com</v>
      </c>
      <c r="G16" s="2" t="str">
        <f>VLOOKUP(Tabela14[[#This Row],[ID_MASSA]],Tabela15[[ID_MASSA]:[SENHA]],5,FALSE)</f>
        <v>admin999</v>
      </c>
    </row>
    <row r="17" spans="1:7" x14ac:dyDescent="0.25">
      <c r="A17" s="1" t="s">
        <v>75</v>
      </c>
      <c r="D17" s="4" t="s">
        <v>14</v>
      </c>
      <c r="E17" s="16">
        <f>VLOOKUP(Tabela14[[#This Row],[ID_MASSA]],Tabela15[],3,FALSE)</f>
        <v>99999999999</v>
      </c>
      <c r="F17" s="2" t="str">
        <f>VLOOKUP(Tabela14[[#This Row],[ID_MASSA]],Tabela15[[ID_MASSA]:[SENHA]],4,FALSE)</f>
        <v>admin@test.com</v>
      </c>
      <c r="G17" s="2" t="str">
        <f>VLOOKUP(Tabela14[[#This Row],[ID_MASSA]],Tabela15[[ID_MASSA]:[SENHA]],5,FALSE)</f>
        <v>admin999</v>
      </c>
    </row>
    <row r="18" spans="1:7" x14ac:dyDescent="0.25">
      <c r="A18" s="1" t="s">
        <v>77</v>
      </c>
      <c r="D18" s="4" t="s">
        <v>16</v>
      </c>
      <c r="E18" s="16">
        <f>VLOOKUP(Tabela14[[#This Row],[ID_MASSA]],Tabela15[],3,FALSE)</f>
        <v>22222222222</v>
      </c>
      <c r="F18" s="2" t="str">
        <f>VLOOKUP(Tabela14[[#This Row],[ID_MASSA]],Tabela15[[ID_MASSA]:[SENHA]],4,FALSE)</f>
        <v>teste@test.com</v>
      </c>
      <c r="G18" s="2" t="str">
        <f>VLOOKUP(Tabela14[[#This Row],[ID_MASSA]],Tabela15[[ID_MASSA]:[SENHA]],5,FALSE)</f>
        <v>admin999</v>
      </c>
    </row>
    <row r="19" spans="1:7" x14ac:dyDescent="0.25">
      <c r="A19" s="1" t="s">
        <v>78</v>
      </c>
      <c r="D19" s="4" t="s">
        <v>16</v>
      </c>
      <c r="E19" s="16">
        <f>VLOOKUP(Tabela14[[#This Row],[ID_MASSA]],Tabela15[],3,FALSE)</f>
        <v>22222222222</v>
      </c>
      <c r="F19" s="2" t="str">
        <f>VLOOKUP(Tabela14[[#This Row],[ID_MASSA]],Tabela15[[ID_MASSA]:[SENHA]],4,FALSE)</f>
        <v>teste@test.com</v>
      </c>
      <c r="G19" s="2" t="str">
        <f>VLOOKUP(Tabela14[[#This Row],[ID_MASSA]],Tabela15[[ID_MASSA]:[SENHA]],5,FALSE)</f>
        <v>admin999</v>
      </c>
    </row>
    <row r="20" spans="1:7" x14ac:dyDescent="0.25">
      <c r="A20" s="1" t="s">
        <v>79</v>
      </c>
      <c r="D20" s="4" t="s">
        <v>16</v>
      </c>
      <c r="E20" s="16">
        <f>VLOOKUP(Tabela14[[#This Row],[ID_MASSA]],Tabela15[],3,FALSE)</f>
        <v>22222222222</v>
      </c>
      <c r="F20" s="2" t="str">
        <f>VLOOKUP(Tabela14[[#This Row],[ID_MASSA]],Tabela15[[ID_MASSA]:[SENHA]],4,FALSE)</f>
        <v>teste@test.com</v>
      </c>
      <c r="G20" s="2" t="str">
        <f>VLOOKUP(Tabela14[[#This Row],[ID_MASSA]],Tabela15[[ID_MASSA]:[SENHA]],5,FALSE)</f>
        <v>admin999</v>
      </c>
    </row>
    <row r="21" spans="1:7" x14ac:dyDescent="0.25">
      <c r="A21" s="1" t="s">
        <v>80</v>
      </c>
      <c r="D21" s="4" t="s">
        <v>16</v>
      </c>
      <c r="E21" s="16">
        <f>VLOOKUP(Tabela14[[#This Row],[ID_MASSA]],Tabela15[],3,FALSE)</f>
        <v>22222222222</v>
      </c>
      <c r="F21" s="2" t="str">
        <f>VLOOKUP(Tabela14[[#This Row],[ID_MASSA]],Tabela15[[ID_MASSA]:[SENHA]],4,FALSE)</f>
        <v>teste@test.com</v>
      </c>
      <c r="G21" s="2" t="str">
        <f>VLOOKUP(Tabela14[[#This Row],[ID_MASSA]],Tabela15[[ID_MASSA]:[SENHA]],5,FALSE)</f>
        <v>admin999</v>
      </c>
    </row>
    <row r="22" spans="1:7" x14ac:dyDescent="0.25">
      <c r="A22" s="1" t="s">
        <v>81</v>
      </c>
      <c r="D22" s="4" t="s">
        <v>16</v>
      </c>
      <c r="E22" s="16">
        <f>VLOOKUP(Tabela14[[#This Row],[ID_MASSA]],Tabela15[],3,FALSE)</f>
        <v>22222222222</v>
      </c>
      <c r="F22" s="2" t="str">
        <f>VLOOKUP(Tabela14[[#This Row],[ID_MASSA]],Tabela15[[ID_MASSA]:[SENHA]],4,FALSE)</f>
        <v>teste@test.com</v>
      </c>
      <c r="G22" s="2" t="str">
        <f>VLOOKUP(Tabela14[[#This Row],[ID_MASSA]],Tabela15[[ID_MASSA]:[SENHA]],5,FALSE)</f>
        <v>admin999</v>
      </c>
    </row>
    <row r="23" spans="1:7" x14ac:dyDescent="0.25">
      <c r="A23" s="1" t="s">
        <v>82</v>
      </c>
      <c r="D23" s="4" t="s">
        <v>16</v>
      </c>
      <c r="E23" s="16">
        <f>VLOOKUP(Tabela14[[#This Row],[ID_MASSA]],Tabela15[],3,FALSE)</f>
        <v>22222222222</v>
      </c>
      <c r="F23" s="2" t="str">
        <f>VLOOKUP(Tabela14[[#This Row],[ID_MASSA]],Tabela15[[ID_MASSA]:[SENHA]],4,FALSE)</f>
        <v>teste@test.com</v>
      </c>
      <c r="G23" s="2" t="str">
        <f>VLOOKUP(Tabela14[[#This Row],[ID_MASSA]],Tabela15[[ID_MASSA]:[SENHA]],5,FALSE)</f>
        <v>admin999</v>
      </c>
    </row>
    <row r="24" spans="1:7" x14ac:dyDescent="0.25">
      <c r="A24" s="1" t="s">
        <v>83</v>
      </c>
      <c r="D24" s="4" t="s">
        <v>16</v>
      </c>
      <c r="E24" s="16">
        <f>VLOOKUP(Tabela14[[#This Row],[ID_MASSA]],Tabela15[],3,FALSE)</f>
        <v>22222222222</v>
      </c>
      <c r="F24" s="2" t="str">
        <f>VLOOKUP(Tabela14[[#This Row],[ID_MASSA]],Tabela15[[ID_MASSA]:[SENHA]],4,FALSE)</f>
        <v>teste@test.com</v>
      </c>
      <c r="G24" s="2" t="str">
        <f>VLOOKUP(Tabela14[[#This Row],[ID_MASSA]],Tabela15[[ID_MASSA]:[SENHA]],5,FALSE)</f>
        <v>admin999</v>
      </c>
    </row>
    <row r="25" spans="1:7" x14ac:dyDescent="0.25">
      <c r="A25" s="1" t="s">
        <v>84</v>
      </c>
      <c r="D25" s="4" t="s">
        <v>16</v>
      </c>
      <c r="E25" s="16">
        <f>VLOOKUP(Tabela14[[#This Row],[ID_MASSA]],Tabela15[],3,FALSE)</f>
        <v>22222222222</v>
      </c>
      <c r="F25" s="2" t="str">
        <f>VLOOKUP(Tabela14[[#This Row],[ID_MASSA]],Tabela15[[ID_MASSA]:[SENHA]],4,FALSE)</f>
        <v>teste@test.com</v>
      </c>
      <c r="G25" s="2" t="str">
        <f>VLOOKUP(Tabela14[[#This Row],[ID_MASSA]],Tabela15[[ID_MASSA]:[SENHA]],5,FALSE)</f>
        <v>admin999</v>
      </c>
    </row>
    <row r="26" spans="1:7" x14ac:dyDescent="0.25">
      <c r="A26" s="1" t="s">
        <v>85</v>
      </c>
      <c r="D26" s="4" t="s">
        <v>16</v>
      </c>
      <c r="E26" s="16">
        <f>VLOOKUP(Tabela14[[#This Row],[ID_MASSA]],Tabela15[],3,FALSE)</f>
        <v>22222222222</v>
      </c>
      <c r="F26" s="2" t="str">
        <f>VLOOKUP(Tabela14[[#This Row],[ID_MASSA]],Tabela15[[ID_MASSA]:[SENHA]],4,FALSE)</f>
        <v>teste@test.com</v>
      </c>
      <c r="G26" s="2" t="str">
        <f>VLOOKUP(Tabela14[[#This Row],[ID_MASSA]],Tabela15[[ID_MASSA]:[SENHA]],5,FALSE)</f>
        <v>admin999</v>
      </c>
    </row>
    <row r="27" spans="1:7" x14ac:dyDescent="0.25">
      <c r="A27" s="1" t="s">
        <v>86</v>
      </c>
      <c r="D27" s="4" t="s">
        <v>16</v>
      </c>
      <c r="E27" s="16">
        <f>VLOOKUP(Tabela14[[#This Row],[ID_MASSA]],Tabela15[],3,FALSE)</f>
        <v>22222222222</v>
      </c>
      <c r="F27" s="2" t="str">
        <f>VLOOKUP(Tabela14[[#This Row],[ID_MASSA]],Tabela15[[ID_MASSA]:[SENHA]],4,FALSE)</f>
        <v>teste@test.com</v>
      </c>
      <c r="G27" s="2" t="str">
        <f>VLOOKUP(Tabela14[[#This Row],[ID_MASSA]],Tabela15[[ID_MASSA]:[SENHA]],5,FALSE)</f>
        <v>admin999</v>
      </c>
    </row>
    <row r="28" spans="1:7" x14ac:dyDescent="0.25">
      <c r="A28" s="1" t="s">
        <v>87</v>
      </c>
      <c r="D28" s="4" t="s">
        <v>16</v>
      </c>
      <c r="E28" s="16">
        <f>VLOOKUP(Tabela14[[#This Row],[ID_MASSA]],Tabela15[],3,FALSE)</f>
        <v>22222222222</v>
      </c>
      <c r="F28" s="2" t="str">
        <f>VLOOKUP(Tabela14[[#This Row],[ID_MASSA]],Tabela15[[ID_MASSA]:[SENHA]],4,FALSE)</f>
        <v>teste@test.com</v>
      </c>
      <c r="G28" s="2" t="str">
        <f>VLOOKUP(Tabela14[[#This Row],[ID_MASSA]],Tabela15[[ID_MASSA]:[SENHA]],5,FALSE)</f>
        <v>admin999</v>
      </c>
    </row>
    <row r="29" spans="1:7" x14ac:dyDescent="0.25">
      <c r="A29" s="1" t="s">
        <v>88</v>
      </c>
      <c r="D29" s="4" t="s">
        <v>16</v>
      </c>
      <c r="E29" s="16">
        <f>VLOOKUP(Tabela14[[#This Row],[ID_MASSA]],Tabela15[],3,FALSE)</f>
        <v>22222222222</v>
      </c>
      <c r="F29" s="2" t="str">
        <f>VLOOKUP(Tabela14[[#This Row],[ID_MASSA]],Tabela15[[ID_MASSA]:[SENHA]],4,FALSE)</f>
        <v>teste@test.com</v>
      </c>
      <c r="G29" s="2" t="str">
        <f>VLOOKUP(Tabela14[[#This Row],[ID_MASSA]],Tabela15[[ID_MASSA]:[SENHA]],5,FALSE)</f>
        <v>admin999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81E0-1506-4C17-B35B-C6A98FED2B80}">
  <dimension ref="A1:I5"/>
  <sheetViews>
    <sheetView zoomScale="140" zoomScaleNormal="140" workbookViewId="0">
      <selection activeCell="H6" sqref="H6"/>
    </sheetView>
  </sheetViews>
  <sheetFormatPr defaultRowHeight="15" x14ac:dyDescent="0.25"/>
  <cols>
    <col min="1" max="1" width="12.85546875" style="7" customWidth="1"/>
    <col min="2" max="2" width="13.28515625" style="7" bestFit="1" customWidth="1"/>
    <col min="3" max="3" width="14.85546875" bestFit="1" customWidth="1"/>
    <col min="4" max="4" width="16.140625" style="2" bestFit="1" customWidth="1"/>
    <col min="5" max="5" width="37.42578125" style="3" bestFit="1" customWidth="1"/>
    <col min="6" max="6" width="13.85546875" style="3" bestFit="1" customWidth="1"/>
    <col min="7" max="7" width="12" style="11" bestFit="1" customWidth="1"/>
    <col min="8" max="8" width="12" style="2" bestFit="1" customWidth="1"/>
    <col min="9" max="9" width="47.5703125" bestFit="1" customWidth="1"/>
    <col min="10" max="10" width="12" customWidth="1"/>
  </cols>
  <sheetData>
    <row r="1" spans="1:9" s="6" customFormat="1" ht="42.75" customHeight="1" x14ac:dyDescent="0.25">
      <c r="A1" s="5" t="s">
        <v>5</v>
      </c>
      <c r="B1" s="5" t="s">
        <v>25</v>
      </c>
      <c r="C1" s="6" t="s">
        <v>44</v>
      </c>
      <c r="D1" s="6" t="s">
        <v>13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</row>
    <row r="2" spans="1:9" x14ac:dyDescent="0.25">
      <c r="A2" s="14" t="s">
        <v>14</v>
      </c>
      <c r="B2" s="15">
        <f>VLOOKUP(A2,Tabela15[[#All],[ID_MASSA]:[ID_ARTIGO]],3,0)</f>
        <v>99999999999</v>
      </c>
      <c r="C2" s="2">
        <v>11999999999</v>
      </c>
      <c r="D2" s="11" t="str">
        <f>TBL_MASSA_CADASTRADA!E2</f>
        <v>admin@test.com</v>
      </c>
      <c r="E2" s="2" t="s">
        <v>50</v>
      </c>
      <c r="F2" s="2" t="s">
        <v>14</v>
      </c>
      <c r="G2" s="2" t="s">
        <v>51</v>
      </c>
      <c r="H2" s="2" t="s">
        <v>52</v>
      </c>
      <c r="I2" s="2" t="s">
        <v>53</v>
      </c>
    </row>
    <row r="3" spans="1:9" x14ac:dyDescent="0.25">
      <c r="A3" s="7" t="s">
        <v>15</v>
      </c>
      <c r="B3" s="1">
        <f>VLOOKUP(A3,Tabela15[[#All],[ID_MASSA]:[ID_ARTIGO]],3,0)</f>
        <v>11111111111</v>
      </c>
      <c r="C3" s="2">
        <v>11999999998</v>
      </c>
      <c r="D3" s="11" t="str">
        <f>TBL_MASSA_CADASTRADA!E3</f>
        <v>gilvan@example.com</v>
      </c>
      <c r="E3" s="2" t="s">
        <v>54</v>
      </c>
      <c r="F3" s="2" t="s">
        <v>14</v>
      </c>
      <c r="G3" s="2">
        <v>254824</v>
      </c>
      <c r="H3" s="2">
        <v>3</v>
      </c>
      <c r="I3" s="2" t="s">
        <v>53</v>
      </c>
    </row>
    <row r="4" spans="1:9" x14ac:dyDescent="0.25">
      <c r="A4" s="7" t="s">
        <v>16</v>
      </c>
      <c r="B4" s="1">
        <f>VLOOKUP(A4,Tabela15[[#All],[ID_MASSA]:[ID_ARTIGO]],3,0)</f>
        <v>22222222222</v>
      </c>
      <c r="C4" s="2">
        <v>11999999997</v>
      </c>
      <c r="D4" s="11" t="str">
        <f>TBL_MASSA_CADASTRADA!E4</f>
        <v>teste@test.com</v>
      </c>
      <c r="E4" s="2" t="s">
        <v>55</v>
      </c>
      <c r="F4" s="2" t="s">
        <v>14</v>
      </c>
      <c r="G4" s="2">
        <v>254823</v>
      </c>
      <c r="H4" s="2">
        <v>4</v>
      </c>
      <c r="I4" s="2" t="s">
        <v>53</v>
      </c>
    </row>
    <row r="5" spans="1:9" x14ac:dyDescent="0.25">
      <c r="A5" s="7" t="s">
        <v>17</v>
      </c>
      <c r="B5" s="1">
        <f>VLOOKUP(A5,Tabela15[[#All],[ID_MASSA]:[ID_ARTIGO]],3,0)</f>
        <v>33333333333</v>
      </c>
      <c r="C5" s="2">
        <v>11999999996</v>
      </c>
      <c r="D5" s="11" t="str">
        <f>TBL_MASSA_CADASTRADA!E5</f>
        <v>sheila@test.com</v>
      </c>
      <c r="E5" s="2" t="s">
        <v>56</v>
      </c>
      <c r="F5" s="2" t="s">
        <v>14</v>
      </c>
      <c r="G5" s="2">
        <v>254828</v>
      </c>
      <c r="H5" s="2">
        <v>5</v>
      </c>
      <c r="I5" s="2" t="s">
        <v>53</v>
      </c>
    </row>
  </sheetData>
  <phoneticPr fontId="1" type="noConversion"/>
  <conditionalFormatting sqref="A2:A5">
    <cfRule type="duplicateValues" dxfId="2" priority="234"/>
  </conditionalFormatting>
  <conditionalFormatting sqref="B2:B5">
    <cfRule type="duplicateValues" dxfId="1" priority="235"/>
  </conditionalFormatting>
  <conditionalFormatting sqref="C2:I2 C3:D5 E2:I5">
    <cfRule type="duplicateValues" dxfId="0" priority="236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="170" zoomScaleNormal="170" workbookViewId="0">
      <selection activeCell="F3" sqref="F3:G9"/>
    </sheetView>
  </sheetViews>
  <sheetFormatPr defaultRowHeight="15" x14ac:dyDescent="0.25"/>
  <cols>
    <col min="1" max="1" width="10.85546875" bestFit="1" customWidth="1"/>
    <col min="2" max="2" width="11.140625" bestFit="1" customWidth="1"/>
    <col min="3" max="3" width="15.85546875" customWidth="1"/>
    <col min="4" max="4" width="18.140625" bestFit="1" customWidth="1"/>
    <col min="5" max="5" width="19.85546875" customWidth="1"/>
    <col min="6" max="6" width="10.140625" customWidth="1"/>
    <col min="7" max="7" width="16.5703125" customWidth="1"/>
    <col min="8" max="8" width="14" customWidth="1"/>
  </cols>
  <sheetData>
    <row r="1" spans="1:8" x14ac:dyDescent="0.25">
      <c r="A1" t="s">
        <v>29</v>
      </c>
      <c r="B1" t="s">
        <v>30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25">
      <c r="A2" t="s">
        <v>41</v>
      </c>
      <c r="B2" t="s">
        <v>41</v>
      </c>
      <c r="C2" t="s">
        <v>41</v>
      </c>
      <c r="E2" s="13" t="s">
        <v>42</v>
      </c>
      <c r="F2" t="s">
        <v>31</v>
      </c>
      <c r="G2" t="s">
        <v>26</v>
      </c>
      <c r="H2">
        <v>99999999999</v>
      </c>
    </row>
    <row r="3" spans="1:8" x14ac:dyDescent="0.25">
      <c r="A3" t="s">
        <v>34</v>
      </c>
      <c r="B3" t="s">
        <v>35</v>
      </c>
      <c r="C3" t="s">
        <v>39</v>
      </c>
      <c r="E3" t="s">
        <v>93</v>
      </c>
      <c r="F3" t="s">
        <v>31</v>
      </c>
      <c r="G3" t="s">
        <v>26</v>
      </c>
      <c r="H3">
        <v>11111111111</v>
      </c>
    </row>
    <row r="4" spans="1:8" x14ac:dyDescent="0.25">
      <c r="A4" t="s">
        <v>36</v>
      </c>
      <c r="B4" t="s">
        <v>35</v>
      </c>
      <c r="C4" t="s">
        <v>89</v>
      </c>
      <c r="E4" t="s">
        <v>94</v>
      </c>
      <c r="F4" t="s">
        <v>31</v>
      </c>
      <c r="G4" t="s">
        <v>26</v>
      </c>
      <c r="H4">
        <v>22222222222</v>
      </c>
    </row>
    <row r="5" spans="1:8" x14ac:dyDescent="0.25">
      <c r="A5" t="s">
        <v>37</v>
      </c>
      <c r="B5" t="s">
        <v>35</v>
      </c>
      <c r="C5" t="s">
        <v>40</v>
      </c>
      <c r="E5" t="s">
        <v>33</v>
      </c>
      <c r="F5" t="s">
        <v>31</v>
      </c>
      <c r="G5" t="s">
        <v>26</v>
      </c>
      <c r="H5">
        <v>33333333333</v>
      </c>
    </row>
    <row r="6" spans="1:8" x14ac:dyDescent="0.25">
      <c r="C6" t="s">
        <v>38</v>
      </c>
      <c r="E6" t="s">
        <v>32</v>
      </c>
      <c r="F6" t="s">
        <v>31</v>
      </c>
      <c r="G6" t="s">
        <v>26</v>
      </c>
      <c r="H6">
        <v>44444444444</v>
      </c>
    </row>
    <row r="7" spans="1:8" x14ac:dyDescent="0.25">
      <c r="C7" t="s">
        <v>90</v>
      </c>
      <c r="E7" t="s">
        <v>95</v>
      </c>
      <c r="F7" t="s">
        <v>31</v>
      </c>
      <c r="G7" t="s">
        <v>26</v>
      </c>
      <c r="H7">
        <v>55555555555</v>
      </c>
    </row>
    <row r="8" spans="1:8" x14ac:dyDescent="0.25">
      <c r="C8" t="s">
        <v>91</v>
      </c>
      <c r="E8" t="s">
        <v>96</v>
      </c>
      <c r="F8" t="s">
        <v>31</v>
      </c>
      <c r="G8" t="s">
        <v>26</v>
      </c>
      <c r="H8">
        <v>66666666666</v>
      </c>
    </row>
    <row r="9" spans="1:8" x14ac:dyDescent="0.25">
      <c r="C9" t="s">
        <v>92</v>
      </c>
      <c r="E9" t="s">
        <v>97</v>
      </c>
      <c r="F9" t="s">
        <v>31</v>
      </c>
      <c r="G9" t="s">
        <v>26</v>
      </c>
      <c r="H9">
        <v>77777777777</v>
      </c>
    </row>
  </sheetData>
  <hyperlinks>
    <hyperlink ref="C2" r:id="rId1" display="admin@test.com" xr:uid="{6B87FCF2-0612-4D6D-9ED7-4E1376A3A556}"/>
    <hyperlink ref="E2" r:id="rId2" xr:uid="{E94A6F02-90B3-4C30-A62A-6878A75E6F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TBL_CENARIOS</vt:lpstr>
      <vt:lpstr>TBL_CADASTRO</vt:lpstr>
      <vt:lpstr>TBL_USUARIOS_SECUNDARIOS</vt:lpstr>
      <vt:lpstr>TBL_DADOS_CHAVE_PIX</vt:lpstr>
      <vt:lpstr>TBL_MASSA_CADASTRADA</vt:lpstr>
      <vt:lpstr>TBL_DADOS_CHAVE_PIX!TBL_CADASTRO</vt:lpstr>
      <vt:lpstr>TBL_USUARIOS_SECUNDARIOS!TBL_CADASTRO</vt:lpstr>
      <vt:lpstr>TBL_CADASTRO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2026-01-14T14:02:34Z</dcterms:modified>
</cp:coreProperties>
</file>